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5"/>
    <sheet state="visible" name="Digikey CSV List" sheetId="2" r:id="rId6"/>
    <sheet state="visible" name="Gastos totales" sheetId="3" r:id="rId7"/>
  </sheets>
  <definedNames/>
  <calcPr/>
</workbook>
</file>

<file path=xl/sharedStrings.xml><?xml version="1.0" encoding="utf-8"?>
<sst xmlns="http://schemas.openxmlformats.org/spreadsheetml/2006/main" count="356" uniqueCount="188">
  <si>
    <t>No de PCBs</t>
  </si>
  <si>
    <t>Bloque de alimentación</t>
  </si>
  <si>
    <t>BOM</t>
  </si>
  <si>
    <t>Componente</t>
  </si>
  <si>
    <t>Valor</t>
  </si>
  <si>
    <t>Rating</t>
  </si>
  <si>
    <t>Tipo de montura</t>
  </si>
  <si>
    <t>Footprint</t>
  </si>
  <si>
    <t>Referencia</t>
  </si>
  <si>
    <t>Digikey Num</t>
  </si>
  <si>
    <t>Datasheets</t>
  </si>
  <si>
    <t>Precio c/u</t>
  </si>
  <si>
    <t>Cantidad (uni)</t>
  </si>
  <si>
    <t>P. Comp.</t>
  </si>
  <si>
    <t>Subtotal (2)</t>
  </si>
  <si>
    <t>P. EXT</t>
  </si>
  <si>
    <t>Charge pump regulator</t>
  </si>
  <si>
    <t>SMT</t>
  </si>
  <si>
    <t>TC962COE</t>
  </si>
  <si>
    <t>TC962COE-ND</t>
  </si>
  <si>
    <t>Link</t>
  </si>
  <si>
    <t>Barrel DC</t>
  </si>
  <si>
    <t>PJ-114AH-SMT-TR</t>
  </si>
  <si>
    <t>2223-PJ-114AH-SMT-TRCT-ND</t>
  </si>
  <si>
    <t>Regulador 15 V</t>
  </si>
  <si>
    <t>15 V, 1.5 A</t>
  </si>
  <si>
    <t>L7815CD2T-TR</t>
  </si>
  <si>
    <t>497-1179-1-ND</t>
  </si>
  <si>
    <t>CA1</t>
  </si>
  <si>
    <t>0.33 uF</t>
  </si>
  <si>
    <t>5%, 50 V</t>
  </si>
  <si>
    <t>0805</t>
  </si>
  <si>
    <t>C0805C334J5RECAUTO</t>
  </si>
  <si>
    <t>399-C0805C334J5RECAUTOCT-ND</t>
  </si>
  <si>
    <t>CA2</t>
  </si>
  <si>
    <t>0.1 uF</t>
  </si>
  <si>
    <t>5%, 50V</t>
  </si>
  <si>
    <t>C0805C104J5RACTU</t>
  </si>
  <si>
    <t>399-C0805C104J5RACTUCT-ND</t>
  </si>
  <si>
    <t>CA3 a CA4</t>
  </si>
  <si>
    <t>10 uF</t>
  </si>
  <si>
    <t>10%, 20 V</t>
  </si>
  <si>
    <t>1206 (3216 Metric)</t>
  </si>
  <si>
    <t>T491A106K020AT</t>
  </si>
  <si>
    <t>399-18019-1-ND</t>
  </si>
  <si>
    <t>CA5</t>
  </si>
  <si>
    <t>1 uF</t>
  </si>
  <si>
    <t>TPSA105K020R3000</t>
  </si>
  <si>
    <t>478-2399-1-ND</t>
  </si>
  <si>
    <t>Bloque de señal de entrada</t>
  </si>
  <si>
    <t>Jack Mono 3.5 mm</t>
  </si>
  <si>
    <t>MJ-3523-SMT-TR</t>
  </si>
  <si>
    <t>CP-3523MJCT-ND</t>
  </si>
  <si>
    <t>Bloque de preamplificación</t>
  </si>
  <si>
    <t>Pasa bajas</t>
  </si>
  <si>
    <t>R1</t>
  </si>
  <si>
    <t>1.3 kΩ</t>
  </si>
  <si>
    <t>1%, 0.125W</t>
  </si>
  <si>
    <t>RMCF0805FT1K30</t>
  </si>
  <si>
    <t>RMCF0805FT1K30CT-ND</t>
  </si>
  <si>
    <t>R2</t>
  </si>
  <si>
    <t>2.49 kΩ</t>
  </si>
  <si>
    <t>RC0805FR-072K49L</t>
  </si>
  <si>
    <t>311-2.49KCRCT-ND</t>
  </si>
  <si>
    <t>C1</t>
  </si>
  <si>
    <t>CC0805JKX7R9BB105</t>
  </si>
  <si>
    <t>311-3498-1-ND</t>
  </si>
  <si>
    <t>C2</t>
  </si>
  <si>
    <t>2.2 uF</t>
  </si>
  <si>
    <t>5%, 25V</t>
  </si>
  <si>
    <t>CC0805JKX7R8BB225</t>
  </si>
  <si>
    <t>13-CC0805JKX7R8BB225CT-ND</t>
  </si>
  <si>
    <t>Pasa bandas 1</t>
  </si>
  <si>
    <t>R3</t>
  </si>
  <si>
    <t>11.3 kΩ</t>
  </si>
  <si>
    <t>RC0805FR-0711K3L</t>
  </si>
  <si>
    <t>311-11.3KCRCT-ND</t>
  </si>
  <si>
    <t>R4</t>
  </si>
  <si>
    <t>205 Ω</t>
  </si>
  <si>
    <t>RC0805FR-07205RL</t>
  </si>
  <si>
    <t>311-205CRCT-ND</t>
  </si>
  <si>
    <t>R5</t>
  </si>
  <si>
    <t>1.05 MΩ</t>
  </si>
  <si>
    <t>RC0805FR-071M05L</t>
  </si>
  <si>
    <t>311-1.05MCRCT-ND</t>
  </si>
  <si>
    <t>C3 a C4</t>
  </si>
  <si>
    <t>100 nF</t>
  </si>
  <si>
    <t>Pasa bandas 2</t>
  </si>
  <si>
    <t>R6</t>
  </si>
  <si>
    <t>4.02 kΩ</t>
  </si>
  <si>
    <t>RMCF0805FT4K02</t>
  </si>
  <si>
    <t>RMCF0805FT4K02CT-ND</t>
  </si>
  <si>
    <t>R7</t>
  </si>
  <si>
    <t>66.5 Ω</t>
  </si>
  <si>
    <t>RMCF0805FT66R5</t>
  </si>
  <si>
    <t>738-RMCF0805FT66R5CT-ND</t>
  </si>
  <si>
    <t>R8</t>
  </si>
  <si>
    <t>324 kΩ</t>
  </si>
  <si>
    <t>RC0805FR-07324KL</t>
  </si>
  <si>
    <t>311-324KCRCT-ND</t>
  </si>
  <si>
    <t>C5 a C6</t>
  </si>
  <si>
    <t>Pasa bandas 3</t>
  </si>
  <si>
    <t>R9</t>
  </si>
  <si>
    <t>6.65 kΩ</t>
  </si>
  <si>
    <t>RMCF0805FT6K65</t>
  </si>
  <si>
    <t>RMCF0805FT6K65CT-ND</t>
  </si>
  <si>
    <t>R10</t>
  </si>
  <si>
    <t>169 Ω</t>
  </si>
  <si>
    <t>RMCF0805FT169R</t>
  </si>
  <si>
    <t>738-RMCF0805FT169RCT-ND</t>
  </si>
  <si>
    <t>R11</t>
  </si>
  <si>
    <t>845 kΩ</t>
  </si>
  <si>
    <t>ERJ-6ENF8453V</t>
  </si>
  <si>
    <t>P845KCCT-ND</t>
  </si>
  <si>
    <t>C7 a C8</t>
  </si>
  <si>
    <t>10 nF</t>
  </si>
  <si>
    <t>GRM2195C1H103JA01D</t>
  </si>
  <si>
    <t>490-1642-1-ND</t>
  </si>
  <si>
    <t>Pasa bandas 4</t>
  </si>
  <si>
    <t>R12</t>
  </si>
  <si>
    <t>1.78 kΩ</t>
  </si>
  <si>
    <t>RC0805FR-071K78L</t>
  </si>
  <si>
    <t>311-1.78KCRCT-ND</t>
  </si>
  <si>
    <t>R13</t>
  </si>
  <si>
    <t>RC0805FR-0737R4L</t>
  </si>
  <si>
    <t>311-37.4CRCT-ND</t>
  </si>
  <si>
    <t>R14</t>
  </si>
  <si>
    <t>191 kΩ</t>
  </si>
  <si>
    <t>RC0805FR-07191KL</t>
  </si>
  <si>
    <t>311-191KCRCT-ND</t>
  </si>
  <si>
    <t>C9 a C10</t>
  </si>
  <si>
    <t>Pasa altas</t>
  </si>
  <si>
    <t>R15</t>
  </si>
  <si>
    <t>13.3 kΩ</t>
  </si>
  <si>
    <t>RC0805FR-0713K3L</t>
  </si>
  <si>
    <t>311-13.3KCRCT-ND</t>
  </si>
  <si>
    <t>R16</t>
  </si>
  <si>
    <t>6.49 kΩ</t>
  </si>
  <si>
    <t>RMCF0805FT6K49</t>
  </si>
  <si>
    <t>RMCF0805FT6K49CT-ND</t>
  </si>
  <si>
    <t>C11</t>
  </si>
  <si>
    <t>1.8 nF</t>
  </si>
  <si>
    <t>5%, 100V</t>
  </si>
  <si>
    <t>GRM2165C2A182JA01D</t>
  </si>
  <si>
    <t>490-13368-1-ND</t>
  </si>
  <si>
    <t>C12</t>
  </si>
  <si>
    <t>1.2 nF</t>
  </si>
  <si>
    <t>GRM2165C2A122JA01D</t>
  </si>
  <si>
    <t>490-6446-1-ND</t>
  </si>
  <si>
    <t>Bloque sumador</t>
  </si>
  <si>
    <t>RV1 a RV6</t>
  </si>
  <si>
    <t>100k</t>
  </si>
  <si>
    <t>THT</t>
  </si>
  <si>
    <t>PTN091-H100115K1B</t>
  </si>
  <si>
    <t>2223-PTN091-H100115K1B-ND</t>
  </si>
  <si>
    <t>R17 a R22</t>
  </si>
  <si>
    <t>10k</t>
  </si>
  <si>
    <t>RT0805BRD0710KL</t>
  </si>
  <si>
    <t>YAG1763CT-ND</t>
  </si>
  <si>
    <t>R23</t>
  </si>
  <si>
    <t>20k</t>
  </si>
  <si>
    <t>0.1%, 0.125W</t>
  </si>
  <si>
    <t>RT0805BRE0720KL</t>
  </si>
  <si>
    <t>YAG4970CT-ND</t>
  </si>
  <si>
    <t>Extras</t>
  </si>
  <si>
    <t>Test Points</t>
  </si>
  <si>
    <t>36-5015CT-ND</t>
  </si>
  <si>
    <t>OPAMPS</t>
  </si>
  <si>
    <t>U3 a U4</t>
  </si>
  <si>
    <t>SOIC14</t>
  </si>
  <si>
    <t>OPA4134UA/2K5</t>
  </si>
  <si>
    <t>296-26284-1-ND</t>
  </si>
  <si>
    <t>TOTAL</t>
  </si>
  <si>
    <t>POSIBILIDAD</t>
  </si>
  <si>
    <t>SOLDER PASTE</t>
  </si>
  <si>
    <t>NC191LT10</t>
  </si>
  <si>
    <t>315-NC191LT10-ND</t>
  </si>
  <si>
    <t>V2</t>
  </si>
  <si>
    <t>PTN091-H100115K1A</t>
  </si>
  <si>
    <t>2223-PTN091-H100115K1A-ND</t>
  </si>
  <si>
    <t>RMCF0805FT37K4CT-ND</t>
  </si>
  <si>
    <t>Digikey componentes</t>
  </si>
  <si>
    <t>PCB</t>
  </si>
  <si>
    <t>Cama Caliente</t>
  </si>
  <si>
    <t>Pasta</t>
  </si>
  <si>
    <t>Pinzas</t>
  </si>
  <si>
    <t>Pesos</t>
  </si>
  <si>
    <t>/2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</si>
</sst>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  <name val="Arial"/>
    </font>
    <font>
      <i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3" fillId="0" fontId="1" numFmtId="0" xfId="0" applyAlignment="1" applyBorder="1" applyFont="1">
      <alignment horizontal="center" readingOrder="0" vertical="center"/>
    </xf>
    <xf borderId="4" fillId="0" fontId="3" numFmtId="0" xfId="0" applyBorder="1" applyFont="1"/>
    <xf borderId="5" fillId="0" fontId="1" numFmtId="0" xfId="0" applyAlignment="1" applyBorder="1" applyFont="1">
      <alignment horizontal="center" readingOrder="0"/>
    </xf>
    <xf borderId="5" fillId="0" fontId="3" numFmtId="0" xfId="0" applyBorder="1" applyFont="1"/>
    <xf borderId="2" fillId="0" fontId="3" numFmtId="0" xfId="0" applyBorder="1" applyFont="1"/>
    <xf borderId="0" fillId="0" fontId="4" numFmtId="0" xfId="0" applyAlignment="1" applyFont="1">
      <alignment vertical="bottom"/>
    </xf>
    <xf borderId="6" fillId="0" fontId="3" numFmtId="0" xfId="0" applyBorder="1" applyFont="1"/>
    <xf borderId="7" fillId="0" fontId="3" numFmtId="0" xfId="0" applyBorder="1" applyFont="1"/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horizontal="center" readingOrder="0" shrinkToFit="0" wrapText="1"/>
    </xf>
    <xf borderId="0" fillId="2" fontId="5" numFmtId="0" xfId="0" applyAlignment="1" applyFill="1" applyFont="1">
      <alignment horizontal="center"/>
    </xf>
    <xf borderId="0" fillId="0" fontId="5" numFmtId="0" xfId="0" applyAlignment="1" applyFont="1">
      <alignment horizontal="center" readingOrder="0"/>
    </xf>
    <xf borderId="7" fillId="0" fontId="5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3" fontId="5" numFmtId="164" xfId="0" applyAlignment="1" applyFill="1" applyFont="1" applyNumberFormat="1">
      <alignment horizontal="center" readingOrder="0"/>
    </xf>
    <xf borderId="7" fillId="4" fontId="4" numFmtId="0" xfId="0" applyAlignment="1" applyBorder="1" applyFill="1" applyFont="1">
      <alignment horizontal="center" readingOrder="0" vertical="bottom"/>
    </xf>
    <xf borderId="9" fillId="0" fontId="5" numFmtId="164" xfId="0" applyAlignment="1" applyBorder="1" applyFont="1" applyNumberFormat="1">
      <alignment horizontal="center"/>
    </xf>
    <xf borderId="9" fillId="0" fontId="4" numFmtId="0" xfId="0" applyAlignment="1" applyBorder="1" applyFont="1">
      <alignment horizontal="center" vertical="bottom"/>
    </xf>
    <xf borderId="0" fillId="5" fontId="4" numFmtId="164" xfId="0" applyAlignment="1" applyFill="1" applyFont="1" applyNumberFormat="1">
      <alignment horizontal="center" vertical="center"/>
    </xf>
    <xf borderId="0" fillId="0" fontId="4" numFmtId="0" xfId="0" applyAlignment="1" applyFont="1">
      <alignment horizontal="center" vertical="bottom"/>
    </xf>
    <xf borderId="0" fillId="2" fontId="5" numFmtId="0" xfId="0" applyFont="1"/>
    <xf borderId="7" fillId="4" fontId="5" numFmtId="0" xfId="0" applyAlignment="1" applyBorder="1" applyFont="1">
      <alignment horizontal="center" readingOrder="0"/>
    </xf>
    <xf quotePrefix="1"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shrinkToFit="0" vertical="center" wrapText="1"/>
    </xf>
    <xf borderId="7" fillId="0" fontId="5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3" fontId="5" numFmtId="164" xfId="0" applyAlignment="1" applyFont="1" applyNumberFormat="1">
      <alignment horizontal="center" readingOrder="0" vertical="center"/>
    </xf>
    <xf borderId="7" fillId="4" fontId="5" numFmtId="0" xfId="0" applyAlignment="1" applyBorder="1" applyFont="1">
      <alignment horizontal="center" readingOrder="0" vertical="center"/>
    </xf>
    <xf borderId="10" fillId="0" fontId="3" numFmtId="0" xfId="0" applyBorder="1" applyFont="1"/>
    <xf borderId="11" fillId="0" fontId="3" numFmtId="0" xfId="0" applyBorder="1" applyFont="1"/>
    <xf borderId="12" fillId="0" fontId="5" numFmtId="0" xfId="0" applyAlignment="1" applyBorder="1" applyFont="1">
      <alignment horizontal="center" readingOrder="0" vertical="center"/>
    </xf>
    <xf borderId="12" fillId="0" fontId="5" numFmtId="0" xfId="0" applyAlignment="1" applyBorder="1" applyFont="1">
      <alignment horizontal="center" readingOrder="0" shrinkToFit="0" vertical="center" wrapText="1"/>
    </xf>
    <xf borderId="11" fillId="0" fontId="5" numFmtId="0" xfId="0" applyAlignment="1" applyBorder="1" applyFont="1">
      <alignment horizontal="center" readingOrder="0" vertical="center"/>
    </xf>
    <xf borderId="12" fillId="0" fontId="8" numFmtId="0" xfId="0" applyAlignment="1" applyBorder="1" applyFont="1">
      <alignment horizontal="center" readingOrder="0" vertical="center"/>
    </xf>
    <xf borderId="11" fillId="4" fontId="5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center" readingOrder="0" vertical="bottom"/>
    </xf>
    <xf borderId="12" fillId="0" fontId="4" numFmtId="0" xfId="0" applyAlignment="1" applyBorder="1" applyFont="1">
      <alignment horizontal="center" shrinkToFit="0" vertical="bottom" wrapText="1"/>
    </xf>
    <xf borderId="12" fillId="2" fontId="5" numFmtId="0" xfId="0" applyAlignment="1" applyBorder="1" applyFont="1">
      <alignment horizontal="center"/>
    </xf>
    <xf borderId="12" fillId="0" fontId="4" numFmtId="0" xfId="0" applyAlignment="1" applyBorder="1" applyFont="1">
      <alignment horizontal="center" vertical="bottom"/>
    </xf>
    <xf borderId="12" fillId="2" fontId="5" numFmtId="0" xfId="0" applyBorder="1" applyFont="1"/>
    <xf borderId="11" fillId="0" fontId="5" numFmtId="0" xfId="0" applyAlignment="1" applyBorder="1" applyFont="1">
      <alignment horizontal="center" readingOrder="0"/>
    </xf>
    <xf borderId="12" fillId="0" fontId="9" numFmtId="0" xfId="0" applyAlignment="1" applyBorder="1" applyFont="1">
      <alignment horizontal="center" readingOrder="0" vertical="bottom"/>
    </xf>
    <xf borderId="5" fillId="3" fontId="5" numFmtId="164" xfId="0" applyAlignment="1" applyBorder="1" applyFont="1" applyNumberFormat="1">
      <alignment horizontal="center" readingOrder="0"/>
    </xf>
    <xf borderId="11" fillId="4" fontId="5" numFmtId="0" xfId="0" applyAlignment="1" applyBorder="1" applyFont="1">
      <alignment horizontal="center" readingOrder="0"/>
    </xf>
    <xf borderId="13" fillId="0" fontId="5" numFmtId="164" xfId="0" applyAlignment="1" applyBorder="1" applyFont="1" applyNumberFormat="1">
      <alignment horizontal="center"/>
    </xf>
    <xf borderId="9" fillId="0" fontId="1" numFmtId="0" xfId="0" applyAlignment="1" applyBorder="1" applyFont="1">
      <alignment horizontal="center" readingOrder="0" shrinkToFit="0" vertical="center" wrapText="1"/>
    </xf>
    <xf borderId="7" fillId="0" fontId="10" numFmtId="0" xfId="0" applyAlignment="1" applyBorder="1" applyFont="1">
      <alignment horizontal="center" readingOrder="0" vertical="center"/>
    </xf>
    <xf borderId="9" fillId="0" fontId="3" numFmtId="0" xfId="0" applyBorder="1" applyFont="1"/>
    <xf borderId="0" fillId="5" fontId="5" numFmtId="0" xfId="0" applyAlignment="1" applyFont="1">
      <alignment horizontal="center" readingOrder="0"/>
    </xf>
    <xf quotePrefix="1" borderId="0" fillId="5" fontId="5" numFmtId="0" xfId="0" applyAlignment="1" applyFont="1">
      <alignment horizontal="center" readingOrder="0"/>
    </xf>
    <xf borderId="7" fillId="5" fontId="5" numFmtId="0" xfId="0" applyAlignment="1" applyBorder="1" applyFont="1">
      <alignment horizontal="center" readingOrder="0"/>
    </xf>
    <xf borderId="0" fillId="5" fontId="11" numFmtId="0" xfId="0" applyAlignment="1" applyFont="1">
      <alignment horizontal="center" readingOrder="0"/>
    </xf>
    <xf borderId="0" fillId="5" fontId="5" numFmtId="164" xfId="0" applyAlignment="1" applyFont="1" applyNumberFormat="1">
      <alignment horizontal="center" readingOrder="0"/>
    </xf>
    <xf borderId="9" fillId="5" fontId="5" numFmtId="164" xfId="0" applyAlignment="1" applyBorder="1" applyFont="1" applyNumberFormat="1">
      <alignment horizontal="center"/>
    </xf>
    <xf borderId="9" fillId="5" fontId="4" numFmtId="0" xfId="0" applyAlignment="1" applyBorder="1" applyFont="1">
      <alignment horizontal="center" vertical="bottom"/>
    </xf>
    <xf borderId="14" fillId="0" fontId="3" numFmtId="0" xfId="0" applyBorder="1" applyFont="1"/>
    <xf borderId="12" fillId="0" fontId="5" numFmtId="0" xfId="0" applyAlignment="1" applyBorder="1" applyFont="1">
      <alignment horizontal="center" readingOrder="0"/>
    </xf>
    <xf quotePrefix="1" borderId="12" fillId="0" fontId="5" numFmtId="0" xfId="0" applyAlignment="1" applyBorder="1" applyFont="1">
      <alignment horizontal="center" readingOrder="0"/>
    </xf>
    <xf borderId="12" fillId="0" fontId="12" numFmtId="0" xfId="0" applyAlignment="1" applyBorder="1" applyFont="1">
      <alignment horizontal="center" readingOrder="0"/>
    </xf>
    <xf borderId="12" fillId="3" fontId="5" numFmtId="164" xfId="0" applyAlignment="1" applyBorder="1" applyFont="1" applyNumberFormat="1">
      <alignment horizontal="center" readingOrder="0"/>
    </xf>
    <xf borderId="6" fillId="0" fontId="1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5" fillId="2" fontId="5" numFmtId="0" xfId="0" applyAlignment="1" applyBorder="1" applyFont="1">
      <alignment horizontal="center"/>
    </xf>
    <xf borderId="2" fillId="0" fontId="5" numFmtId="0" xfId="0" applyAlignment="1" applyBorder="1" applyFont="1">
      <alignment horizontal="center" readingOrder="0"/>
    </xf>
    <xf borderId="5" fillId="0" fontId="13" numFmtId="0" xfId="0" applyAlignment="1" applyBorder="1" applyFont="1">
      <alignment horizontal="center" readingOrder="0"/>
    </xf>
    <xf borderId="2" fillId="4" fontId="5" numFmtId="0" xfId="0" applyAlignment="1" applyBorder="1" applyFont="1">
      <alignment horizontal="center" readingOrder="0"/>
    </xf>
    <xf borderId="5" fillId="2" fontId="5" numFmtId="0" xfId="0" applyAlignment="1" applyBorder="1" applyFont="1">
      <alignment horizontal="center" readingOrder="0"/>
    </xf>
    <xf borderId="5" fillId="2" fontId="5" numFmtId="0" xfId="0" applyBorder="1" applyFont="1"/>
    <xf borderId="5" fillId="0" fontId="5" numFmtId="0" xfId="0" applyAlignment="1" applyBorder="1" applyFont="1">
      <alignment readingOrder="0"/>
    </xf>
    <xf borderId="15" fillId="3" fontId="5" numFmtId="164" xfId="0" applyAlignment="1" applyBorder="1" applyFont="1" applyNumberFormat="1">
      <alignment horizontal="center" readingOrder="0"/>
    </xf>
    <xf borderId="15" fillId="4" fontId="5" numFmtId="0" xfId="0" applyAlignment="1" applyBorder="1" applyFont="1">
      <alignment horizontal="center" readingOrder="0"/>
    </xf>
    <xf borderId="9" fillId="0" fontId="4" numFmtId="0" xfId="0" applyAlignment="1" applyBorder="1" applyFont="1">
      <alignment horizontal="center" readingOrder="0" vertical="bottom"/>
    </xf>
    <xf borderId="16" fillId="0" fontId="1" numFmtId="0" xfId="0" applyAlignment="1" applyBorder="1" applyFont="1">
      <alignment horizontal="center" readingOrder="0"/>
    </xf>
    <xf borderId="17" fillId="0" fontId="5" numFmtId="0" xfId="0" applyAlignment="1" applyBorder="1" applyFont="1">
      <alignment horizontal="center"/>
    </xf>
    <xf borderId="17" fillId="0" fontId="4" numFmtId="164" xfId="0" applyAlignment="1" applyBorder="1" applyFont="1" applyNumberFormat="1">
      <alignment horizontal="center" vertical="bottom"/>
    </xf>
    <xf borderId="0" fillId="5" fontId="4" numFmtId="0" xfId="0" applyAlignment="1" applyFont="1">
      <alignment horizontal="center" vertical="center"/>
    </xf>
    <xf borderId="0" fillId="0" fontId="5" numFmtId="0" xfId="0" applyAlignment="1" applyFont="1">
      <alignment horizontal="center"/>
    </xf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horizontal="center" vertical="bottom"/>
    </xf>
    <xf borderId="0" fillId="2" fontId="4" numFmtId="0" xfId="0" applyAlignment="1" applyFont="1">
      <alignment vertical="bottom"/>
    </xf>
    <xf borderId="7" fillId="0" fontId="4" numFmtId="0" xfId="0" applyAlignment="1" applyBorder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3" fontId="4" numFmtId="164" xfId="0" applyAlignment="1" applyFont="1" applyNumberFormat="1">
      <alignment horizontal="center" vertical="bottom"/>
    </xf>
    <xf borderId="0" fillId="4" fontId="4" numFmtId="0" xfId="0" applyAlignment="1" applyFont="1">
      <alignment horizontal="center" vertical="bottom"/>
    </xf>
    <xf borderId="9" fillId="0" fontId="4" numFmtId="164" xfId="0" applyAlignment="1" applyBorder="1" applyFont="1" applyNumberFormat="1">
      <alignment horizontal="center" vertical="bottom"/>
    </xf>
    <xf borderId="0" fillId="5" fontId="4" numFmtId="164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bottom"/>
    </xf>
    <xf borderId="0" fillId="0" fontId="5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eielect.com/catalog/SEI-RMCF_RMCP.pdf" TargetMode="External"/><Relationship Id="rId22" Type="http://schemas.openxmlformats.org/officeDocument/2006/relationships/hyperlink" Target="https://industrial.panasonic.com/cdbs/www-data/pdf/RDA0000/AOA0000C304.pdf" TargetMode="External"/><Relationship Id="rId21" Type="http://schemas.openxmlformats.org/officeDocument/2006/relationships/hyperlink" Target="https://www.seielect.com/catalog/SEI-RMCF_RMCP.pdf" TargetMode="External"/><Relationship Id="rId24" Type="http://schemas.openxmlformats.org/officeDocument/2006/relationships/hyperlink" Target="https://www.yageogroup.com/content/datasheet/asset/file/PYU-RC_GROUP_51_ROHS_L" TargetMode="External"/><Relationship Id="rId23" Type="http://schemas.openxmlformats.org/officeDocument/2006/relationships/hyperlink" Target="https://search.murata.co.jp/Ceramy/image/img/A01X/G101/ENG/GRM2195C1H103JA01-01.pdf" TargetMode="External"/><Relationship Id="rId1" Type="http://schemas.openxmlformats.org/officeDocument/2006/relationships/hyperlink" Target="https://ww1.microchip.com/downloads/aemDocuments/documents/APID/ProductDocuments/DataSheets/21484D.pdf" TargetMode="External"/><Relationship Id="rId2" Type="http://schemas.openxmlformats.org/officeDocument/2006/relationships/hyperlink" Target="https://www.kycon.com/Pub_Eng_Draw/KLDVX-SMT-02-B.pdf" TargetMode="External"/><Relationship Id="rId3" Type="http://schemas.openxmlformats.org/officeDocument/2006/relationships/hyperlink" Target="https://www.st.com/content/ccc/resource/technical/document/datasheet/41/4f/b3/b0/12/d4/47/88/CD00000444.pdf/files/CD00000444.pdf/jcr:content/translations/en.CD00000444.pdf" TargetMode="External"/><Relationship Id="rId4" Type="http://schemas.openxmlformats.org/officeDocument/2006/relationships/hyperlink" Target="https://www.yageogroup.com/content/datasheet/asset/file/KEM_C1002_X7R_SMD" TargetMode="External"/><Relationship Id="rId9" Type="http://schemas.openxmlformats.org/officeDocument/2006/relationships/hyperlink" Target="https://www.yageogroup.com/content/datasheet/asset/file/PYU-RC_GROUP_51_ROHS_L" TargetMode="External"/><Relationship Id="rId26" Type="http://schemas.openxmlformats.org/officeDocument/2006/relationships/hyperlink" Target="https://www.yageogroup.com/content/datasheet/asset/file/PYU-RC_GROUP_51_ROHS_L" TargetMode="External"/><Relationship Id="rId25" Type="http://schemas.openxmlformats.org/officeDocument/2006/relationships/hyperlink" Target="https://www.seielect.com/catalog/SEI-RMCF_RMCP.pdf" TargetMode="External"/><Relationship Id="rId28" Type="http://schemas.openxmlformats.org/officeDocument/2006/relationships/hyperlink" Target="https://www.yageogroup.com/content/datasheet/asset/file/PYU-RC_GROUP_51_ROHS_L" TargetMode="External"/><Relationship Id="rId27" Type="http://schemas.openxmlformats.org/officeDocument/2006/relationships/hyperlink" Target="https://search.murata.co.jp/Ceramy/image/img/A01X/G101/ENG/GRM2195C1H103JA01-01.pdf" TargetMode="External"/><Relationship Id="rId5" Type="http://schemas.openxmlformats.org/officeDocument/2006/relationships/hyperlink" Target="https://www.yageogroup.com/content/datasheet/asset/file/KEM_T2004_T490" TargetMode="External"/><Relationship Id="rId6" Type="http://schemas.openxmlformats.org/officeDocument/2006/relationships/hyperlink" Target="https://datasheets.kyocera-avx.com/TPS.pdf" TargetMode="External"/><Relationship Id="rId29" Type="http://schemas.openxmlformats.org/officeDocument/2006/relationships/hyperlink" Target="https://www.seielect.com/catalog/SEI-RMCF_RMCP.pdf" TargetMode="External"/><Relationship Id="rId7" Type="http://schemas.openxmlformats.org/officeDocument/2006/relationships/hyperlink" Target="https://www.sameskydevices.com/product/resource/mj-3523-smt.pdf" TargetMode="External"/><Relationship Id="rId8" Type="http://schemas.openxmlformats.org/officeDocument/2006/relationships/hyperlink" Target="https://www.seielect.com/catalog/SEI-RMCF_RMCP.pdf" TargetMode="External"/><Relationship Id="rId31" Type="http://schemas.openxmlformats.org/officeDocument/2006/relationships/hyperlink" Target="https://search.murata.co.jp/Ceramy/image/img/A01X/G101/ENG/GRM2165C2A122JA01-01.pdf" TargetMode="External"/><Relationship Id="rId30" Type="http://schemas.openxmlformats.org/officeDocument/2006/relationships/hyperlink" Target="https://search.murata.co.jp/Ceramy/image/img/A01X/G101/ENG/GRM2165C2A182JA01-01.pdf" TargetMode="External"/><Relationship Id="rId11" Type="http://schemas.openxmlformats.org/officeDocument/2006/relationships/hyperlink" Target="https://www.yageogroup.com/content/datasheet/asset/file/UPY-GPHC_X7R_6_3V-TO-250V" TargetMode="External"/><Relationship Id="rId33" Type="http://schemas.openxmlformats.org/officeDocument/2006/relationships/hyperlink" Target="https://www.yageogroup.com/browse/products?search=pyu-rt_1-to-0.01_rohs_l.pdf" TargetMode="External"/><Relationship Id="rId10" Type="http://schemas.openxmlformats.org/officeDocument/2006/relationships/hyperlink" Target="https://www.yageogroup.com/content/datasheet/asset/file/UPY-GPHC_X7R_6_3V-TO-250V" TargetMode="External"/><Relationship Id="rId32" Type="http://schemas.openxmlformats.org/officeDocument/2006/relationships/hyperlink" Target="https://www.sameskydevices.com/product/resource/ptn09x.pdf" TargetMode="External"/><Relationship Id="rId13" Type="http://schemas.openxmlformats.org/officeDocument/2006/relationships/hyperlink" Target="https://www.yageogroup.com/content/datasheet/asset/file/PYU-RC_GROUP_51_ROHS_L" TargetMode="External"/><Relationship Id="rId35" Type="http://schemas.openxmlformats.org/officeDocument/2006/relationships/hyperlink" Target="https://www.keyelco.com/userAssets/file/M65p55.pdf" TargetMode="External"/><Relationship Id="rId12" Type="http://schemas.openxmlformats.org/officeDocument/2006/relationships/hyperlink" Target="https://www.yageogroup.com/content/datasheet/asset/file/PYU-RC_GROUP_51_ROHS_L" TargetMode="External"/><Relationship Id="rId34" Type="http://schemas.openxmlformats.org/officeDocument/2006/relationships/hyperlink" Target="https://www.yageogroup.com/browse/products?search=pyu-rt_1-to-0.01_rohs_l.pdf" TargetMode="External"/><Relationship Id="rId15" Type="http://schemas.openxmlformats.org/officeDocument/2006/relationships/hyperlink" Target="https://www.yageogroup.com/content/datasheet/asset/file/KEM_C1002_X7R_SMD" TargetMode="External"/><Relationship Id="rId37" Type="http://schemas.openxmlformats.org/officeDocument/2006/relationships/hyperlink" Target="https://www.sameskydevices.com/product/resource/ptn09x.pdf" TargetMode="External"/><Relationship Id="rId14" Type="http://schemas.openxmlformats.org/officeDocument/2006/relationships/hyperlink" Target="https://www.yageogroup.com/content/datasheet/asset/file/PYU-RC_GROUP_51_ROHS_L" TargetMode="External"/><Relationship Id="rId36" Type="http://schemas.openxmlformats.org/officeDocument/2006/relationships/hyperlink" Target="https://www.ti.com/lit/ds/symlink/opa134.pdf?HQS=dis-dk-null-digikeymode-dsf-pf-null-wwe&amp;ts=1762967911606&amp;ref_url=https%253A%252F%252Fwww.ti.com%252Fgeneral%252Fdocs%252Fsuppproductinfo.tsp%253FdistId%253D10%2526gotoUrl%253Dhttps%253A%252F%252Fwww.ti.com%252Flit%252Fgpn%252Fopa134" TargetMode="External"/><Relationship Id="rId17" Type="http://schemas.openxmlformats.org/officeDocument/2006/relationships/hyperlink" Target="https://www.seielect.com/catalog/SEI-RMCF_RMCP.pdf" TargetMode="External"/><Relationship Id="rId16" Type="http://schemas.openxmlformats.org/officeDocument/2006/relationships/hyperlink" Target="https://www.seielect.com/catalog/SEI-RMCF_RMCP.pdf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https://www.yageogroup.com/content/datasheet/asset/file/KEM_C1002_X7R_SMD" TargetMode="External"/><Relationship Id="rId18" Type="http://schemas.openxmlformats.org/officeDocument/2006/relationships/hyperlink" Target="https://www.yageogroup.com/content/datasheet/asset/file/PYU-RC_GROUP_51_ROHS_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7.75"/>
    <col customWidth="1" min="3" max="3" width="15.13"/>
    <col customWidth="1" min="4" max="4" width="7.38"/>
    <col customWidth="1" min="5" max="5" width="11.5"/>
    <col customWidth="1" min="6" max="6" width="7.63"/>
    <col customWidth="1" min="7" max="7" width="9.38"/>
    <col customWidth="1" min="8" max="8" width="21.0"/>
    <col customWidth="1" min="9" max="9" width="29.25"/>
    <col customWidth="1" min="10" max="10" width="9.38"/>
    <col customWidth="1" min="11" max="11" width="10.0"/>
    <col customWidth="1" min="12" max="12" width="12.13"/>
    <col customWidth="1" min="13" max="13" width="8.25"/>
    <col customWidth="1" min="14" max="14" width="10.25"/>
    <col customWidth="1" min="15" max="15" width="8.88"/>
  </cols>
  <sheetData>
    <row r="2">
      <c r="A2" s="1"/>
      <c r="L2" s="2" t="s">
        <v>0</v>
      </c>
      <c r="M2" s="3">
        <v>2.0</v>
      </c>
      <c r="N2" s="4"/>
      <c r="O2" s="4"/>
      <c r="P2" s="4"/>
      <c r="Q2" s="4"/>
    </row>
    <row r="3">
      <c r="A3" s="5" t="s">
        <v>1</v>
      </c>
      <c r="B3" s="6"/>
      <c r="C3" s="7" t="s">
        <v>2</v>
      </c>
      <c r="D3" s="8"/>
      <c r="E3" s="8"/>
      <c r="F3" s="8"/>
      <c r="G3" s="8"/>
      <c r="H3" s="8"/>
      <c r="I3" s="8"/>
      <c r="J3" s="8"/>
      <c r="K3" s="8"/>
      <c r="L3" s="8"/>
      <c r="M3" s="8"/>
      <c r="N3" s="9"/>
      <c r="O3" s="10"/>
      <c r="P3" s="10"/>
      <c r="Q3" s="10"/>
    </row>
    <row r="4">
      <c r="A4" s="11"/>
      <c r="B4" s="12"/>
      <c r="C4" s="13" t="s">
        <v>3</v>
      </c>
      <c r="D4" s="13" t="s">
        <v>4</v>
      </c>
      <c r="E4" s="13" t="s">
        <v>5</v>
      </c>
      <c r="F4" s="14" t="s">
        <v>6</v>
      </c>
      <c r="G4" s="13" t="s">
        <v>7</v>
      </c>
      <c r="H4" s="13" t="s">
        <v>8</v>
      </c>
      <c r="I4" s="15" t="s">
        <v>9</v>
      </c>
      <c r="J4" s="13" t="s">
        <v>10</v>
      </c>
      <c r="K4" s="13" t="s">
        <v>11</v>
      </c>
      <c r="L4" s="16" t="s">
        <v>12</v>
      </c>
      <c r="M4" s="17" t="s">
        <v>13</v>
      </c>
      <c r="N4" s="18" t="s">
        <v>14</v>
      </c>
      <c r="O4" s="19" t="s">
        <v>15</v>
      </c>
      <c r="P4" s="20"/>
    </row>
    <row r="5">
      <c r="A5" s="11"/>
      <c r="B5" s="12"/>
      <c r="C5" s="21" t="s">
        <v>16</v>
      </c>
      <c r="D5" s="22"/>
      <c r="E5" s="22"/>
      <c r="F5" s="23" t="s">
        <v>17</v>
      </c>
      <c r="G5" s="22"/>
      <c r="H5" s="23" t="s">
        <v>18</v>
      </c>
      <c r="I5" s="24" t="s">
        <v>19</v>
      </c>
      <c r="J5" s="25" t="s">
        <v>20</v>
      </c>
      <c r="K5" s="26">
        <v>3.92</v>
      </c>
      <c r="L5" s="27">
        <v>1.0</v>
      </c>
      <c r="M5" s="28">
        <f t="shared" ref="M5:M41" si="1">L5*K5</f>
        <v>3.92</v>
      </c>
      <c r="N5" s="29">
        <f t="shared" ref="N5:N12" si="2">L5+1</f>
        <v>2</v>
      </c>
      <c r="O5" s="30">
        <f t="shared" ref="O5:O41" si="3">N5*K5</f>
        <v>7.84</v>
      </c>
      <c r="P5" s="31"/>
      <c r="Q5" s="10"/>
    </row>
    <row r="6">
      <c r="A6" s="11"/>
      <c r="B6" s="12"/>
      <c r="C6" s="23" t="s">
        <v>21</v>
      </c>
      <c r="D6" s="22"/>
      <c r="E6" s="22"/>
      <c r="F6" s="23" t="s">
        <v>17</v>
      </c>
      <c r="G6" s="22"/>
      <c r="H6" s="23" t="s">
        <v>22</v>
      </c>
      <c r="I6" s="24" t="s">
        <v>23</v>
      </c>
      <c r="J6" s="25" t="s">
        <v>20</v>
      </c>
      <c r="K6" s="26">
        <v>0.84</v>
      </c>
      <c r="L6" s="27">
        <v>1.0</v>
      </c>
      <c r="M6" s="28">
        <f t="shared" si="1"/>
        <v>0.84</v>
      </c>
      <c r="N6" s="29">
        <f t="shared" si="2"/>
        <v>2</v>
      </c>
      <c r="O6" s="30">
        <f t="shared" si="3"/>
        <v>1.68</v>
      </c>
      <c r="P6" s="31"/>
      <c r="Q6" s="10"/>
    </row>
    <row r="7">
      <c r="A7" s="11"/>
      <c r="B7" s="12"/>
      <c r="C7" s="23" t="s">
        <v>24</v>
      </c>
      <c r="D7" s="32"/>
      <c r="E7" s="23" t="s">
        <v>25</v>
      </c>
      <c r="F7" s="23" t="s">
        <v>17</v>
      </c>
      <c r="G7" s="32"/>
      <c r="H7" s="23" t="s">
        <v>26</v>
      </c>
      <c r="I7" s="24" t="s">
        <v>27</v>
      </c>
      <c r="J7" s="25" t="s">
        <v>20</v>
      </c>
      <c r="K7" s="26">
        <v>0.9</v>
      </c>
      <c r="L7" s="33">
        <v>1.0</v>
      </c>
      <c r="M7" s="28">
        <f t="shared" si="1"/>
        <v>0.9</v>
      </c>
      <c r="N7" s="29">
        <f t="shared" si="2"/>
        <v>2</v>
      </c>
      <c r="O7" s="30">
        <f t="shared" si="3"/>
        <v>1.8</v>
      </c>
      <c r="P7" s="31"/>
      <c r="Q7" s="10"/>
    </row>
    <row r="8">
      <c r="A8" s="11"/>
      <c r="B8" s="12"/>
      <c r="C8" s="23" t="s">
        <v>28</v>
      </c>
      <c r="D8" s="23" t="s">
        <v>29</v>
      </c>
      <c r="E8" s="23" t="s">
        <v>30</v>
      </c>
      <c r="F8" s="23" t="s">
        <v>17</v>
      </c>
      <c r="G8" s="34" t="s">
        <v>31</v>
      </c>
      <c r="H8" s="23" t="s">
        <v>32</v>
      </c>
      <c r="I8" s="24" t="s">
        <v>33</v>
      </c>
      <c r="K8" s="26">
        <v>0.28</v>
      </c>
      <c r="L8" s="33">
        <v>1.0</v>
      </c>
      <c r="M8" s="28">
        <f t="shared" si="1"/>
        <v>0.28</v>
      </c>
      <c r="N8" s="29">
        <f t="shared" si="2"/>
        <v>2</v>
      </c>
      <c r="O8" s="30">
        <f t="shared" si="3"/>
        <v>0.56</v>
      </c>
      <c r="P8" s="31"/>
      <c r="Q8" s="10"/>
    </row>
    <row r="9">
      <c r="A9" s="11"/>
      <c r="B9" s="12"/>
      <c r="C9" s="23" t="s">
        <v>34</v>
      </c>
      <c r="D9" s="23" t="s">
        <v>35</v>
      </c>
      <c r="E9" s="23" t="s">
        <v>36</v>
      </c>
      <c r="F9" s="23" t="s">
        <v>17</v>
      </c>
      <c r="G9" s="34" t="s">
        <v>31</v>
      </c>
      <c r="H9" s="23" t="s">
        <v>37</v>
      </c>
      <c r="I9" s="24" t="s">
        <v>38</v>
      </c>
      <c r="J9" s="25" t="s">
        <v>20</v>
      </c>
      <c r="K9" s="26">
        <v>0.15</v>
      </c>
      <c r="L9" s="33">
        <v>1.0</v>
      </c>
      <c r="M9" s="28">
        <f t="shared" si="1"/>
        <v>0.15</v>
      </c>
      <c r="N9" s="29">
        <f t="shared" si="2"/>
        <v>2</v>
      </c>
      <c r="O9" s="30">
        <f t="shared" si="3"/>
        <v>0.3</v>
      </c>
      <c r="P9" s="31"/>
      <c r="Q9" s="10"/>
    </row>
    <row r="10">
      <c r="A10" s="11"/>
      <c r="B10" s="12"/>
      <c r="C10" s="35" t="s">
        <v>39</v>
      </c>
      <c r="D10" s="35" t="s">
        <v>40</v>
      </c>
      <c r="E10" s="35" t="s">
        <v>41</v>
      </c>
      <c r="F10" s="35" t="s">
        <v>17</v>
      </c>
      <c r="G10" s="36" t="s">
        <v>42</v>
      </c>
      <c r="H10" s="35" t="s">
        <v>43</v>
      </c>
      <c r="I10" s="37" t="s">
        <v>44</v>
      </c>
      <c r="J10" s="38" t="s">
        <v>20</v>
      </c>
      <c r="K10" s="39">
        <v>0.6</v>
      </c>
      <c r="L10" s="40">
        <v>2.0</v>
      </c>
      <c r="M10" s="28">
        <f t="shared" si="1"/>
        <v>1.2</v>
      </c>
      <c r="N10" s="29">
        <f t="shared" si="2"/>
        <v>3</v>
      </c>
      <c r="O10" s="30">
        <f t="shared" si="3"/>
        <v>1.8</v>
      </c>
      <c r="P10" s="31"/>
      <c r="Q10" s="10"/>
    </row>
    <row r="11">
      <c r="A11" s="41"/>
      <c r="B11" s="42"/>
      <c r="C11" s="43" t="s">
        <v>45</v>
      </c>
      <c r="D11" s="43" t="s">
        <v>46</v>
      </c>
      <c r="E11" s="43" t="s">
        <v>41</v>
      </c>
      <c r="F11" s="43" t="s">
        <v>17</v>
      </c>
      <c r="G11" s="44" t="s">
        <v>42</v>
      </c>
      <c r="H11" s="43" t="s">
        <v>47</v>
      </c>
      <c r="I11" s="45" t="s">
        <v>48</v>
      </c>
      <c r="J11" s="46" t="s">
        <v>20</v>
      </c>
      <c r="K11" s="39">
        <v>0.63</v>
      </c>
      <c r="L11" s="47">
        <v>1.0</v>
      </c>
      <c r="M11" s="28">
        <f t="shared" si="1"/>
        <v>0.63</v>
      </c>
      <c r="N11" s="29">
        <f t="shared" si="2"/>
        <v>2</v>
      </c>
      <c r="O11" s="30">
        <f t="shared" si="3"/>
        <v>1.26</v>
      </c>
      <c r="P11" s="31"/>
      <c r="Q11" s="10"/>
    </row>
    <row r="12">
      <c r="A12" s="48" t="s">
        <v>49</v>
      </c>
      <c r="B12" s="42"/>
      <c r="C12" s="49" t="s">
        <v>50</v>
      </c>
      <c r="D12" s="50"/>
      <c r="E12" s="50"/>
      <c r="F12" s="51" t="s">
        <v>17</v>
      </c>
      <c r="G12" s="52"/>
      <c r="H12" s="51" t="s">
        <v>51</v>
      </c>
      <c r="I12" s="53" t="s">
        <v>52</v>
      </c>
      <c r="J12" s="54" t="s">
        <v>20</v>
      </c>
      <c r="K12" s="55">
        <v>0.92</v>
      </c>
      <c r="L12" s="56">
        <v>2.0</v>
      </c>
      <c r="M12" s="57">
        <f t="shared" si="1"/>
        <v>1.84</v>
      </c>
      <c r="N12" s="29">
        <f t="shared" si="2"/>
        <v>3</v>
      </c>
      <c r="O12" s="30">
        <f t="shared" si="3"/>
        <v>2.76</v>
      </c>
      <c r="P12" s="31"/>
      <c r="Q12" s="10"/>
    </row>
    <row r="13">
      <c r="A13" s="58" t="s">
        <v>53</v>
      </c>
      <c r="B13" s="59" t="s">
        <v>54</v>
      </c>
      <c r="C13" s="23" t="s">
        <v>55</v>
      </c>
      <c r="D13" s="23" t="s">
        <v>56</v>
      </c>
      <c r="E13" s="23" t="s">
        <v>57</v>
      </c>
      <c r="F13" s="23" t="s">
        <v>17</v>
      </c>
      <c r="G13" s="34" t="s">
        <v>31</v>
      </c>
      <c r="H13" s="23" t="s">
        <v>58</v>
      </c>
      <c r="I13" s="24" t="s">
        <v>59</v>
      </c>
      <c r="J13" s="25" t="s">
        <v>20</v>
      </c>
      <c r="K13" s="26">
        <v>0.1</v>
      </c>
      <c r="L13" s="33">
        <v>1.0</v>
      </c>
      <c r="M13" s="28">
        <f t="shared" si="1"/>
        <v>0.1</v>
      </c>
      <c r="N13" s="29">
        <f t="shared" ref="N13:N14" si="4">L13+2</f>
        <v>3</v>
      </c>
      <c r="O13" s="30">
        <f t="shared" si="3"/>
        <v>0.3</v>
      </c>
      <c r="P13" s="31"/>
      <c r="Q13" s="10"/>
    </row>
    <row r="14">
      <c r="A14" s="60"/>
      <c r="B14" s="12"/>
      <c r="C14" s="23" t="s">
        <v>60</v>
      </c>
      <c r="D14" s="23" t="s">
        <v>61</v>
      </c>
      <c r="E14" s="23" t="s">
        <v>57</v>
      </c>
      <c r="F14" s="23" t="s">
        <v>17</v>
      </c>
      <c r="G14" s="34" t="s">
        <v>31</v>
      </c>
      <c r="H14" s="23" t="s">
        <v>62</v>
      </c>
      <c r="I14" s="24" t="s">
        <v>63</v>
      </c>
      <c r="J14" s="25" t="s">
        <v>20</v>
      </c>
      <c r="K14" s="26">
        <v>0.1</v>
      </c>
      <c r="L14" s="33">
        <v>1.0</v>
      </c>
      <c r="M14" s="28">
        <f t="shared" si="1"/>
        <v>0.1</v>
      </c>
      <c r="N14" s="29">
        <f t="shared" si="4"/>
        <v>3</v>
      </c>
      <c r="O14" s="30">
        <f t="shared" si="3"/>
        <v>0.3</v>
      </c>
      <c r="P14" s="31"/>
      <c r="Q14" s="10"/>
    </row>
    <row r="15">
      <c r="A15" s="60"/>
      <c r="B15" s="12"/>
      <c r="C15" s="23" t="s">
        <v>64</v>
      </c>
      <c r="D15" s="23" t="s">
        <v>46</v>
      </c>
      <c r="E15" s="23" t="s">
        <v>36</v>
      </c>
      <c r="F15" s="23" t="s">
        <v>17</v>
      </c>
      <c r="G15" s="34" t="s">
        <v>31</v>
      </c>
      <c r="H15" s="23" t="s">
        <v>65</v>
      </c>
      <c r="I15" s="24" t="s">
        <v>66</v>
      </c>
      <c r="J15" s="25" t="s">
        <v>20</v>
      </c>
      <c r="K15" s="26">
        <v>0.29</v>
      </c>
      <c r="L15" s="33">
        <v>1.0</v>
      </c>
      <c r="M15" s="28">
        <f t="shared" si="1"/>
        <v>0.29</v>
      </c>
      <c r="N15" s="29">
        <f t="shared" ref="N15:N16" si="5">L15+1</f>
        <v>2</v>
      </c>
      <c r="O15" s="30">
        <f t="shared" si="3"/>
        <v>0.58</v>
      </c>
      <c r="P15" s="31"/>
      <c r="Q15" s="10"/>
    </row>
    <row r="16">
      <c r="A16" s="60"/>
      <c r="B16" s="12"/>
      <c r="C16" s="23" t="s">
        <v>67</v>
      </c>
      <c r="D16" s="23" t="s">
        <v>68</v>
      </c>
      <c r="E16" s="23" t="s">
        <v>69</v>
      </c>
      <c r="F16" s="23" t="s">
        <v>17</v>
      </c>
      <c r="G16" s="34" t="s">
        <v>31</v>
      </c>
      <c r="H16" s="23" t="s">
        <v>70</v>
      </c>
      <c r="I16" s="24" t="s">
        <v>71</v>
      </c>
      <c r="J16" s="25" t="s">
        <v>20</v>
      </c>
      <c r="K16" s="26">
        <v>0.25</v>
      </c>
      <c r="L16" s="33">
        <v>1.0</v>
      </c>
      <c r="M16" s="28">
        <f t="shared" si="1"/>
        <v>0.25</v>
      </c>
      <c r="N16" s="29">
        <f t="shared" si="5"/>
        <v>2</v>
      </c>
      <c r="O16" s="30">
        <f t="shared" si="3"/>
        <v>0.5</v>
      </c>
      <c r="P16" s="31"/>
      <c r="Q16" s="10"/>
    </row>
    <row r="17">
      <c r="A17" s="60"/>
      <c r="B17" s="59" t="s">
        <v>72</v>
      </c>
      <c r="C17" s="23" t="s">
        <v>73</v>
      </c>
      <c r="D17" s="23" t="s">
        <v>74</v>
      </c>
      <c r="E17" s="23" t="s">
        <v>57</v>
      </c>
      <c r="F17" s="23" t="s">
        <v>17</v>
      </c>
      <c r="G17" s="34" t="s">
        <v>31</v>
      </c>
      <c r="H17" s="23" t="s">
        <v>75</v>
      </c>
      <c r="I17" s="24" t="s">
        <v>76</v>
      </c>
      <c r="J17" s="25" t="s">
        <v>20</v>
      </c>
      <c r="K17" s="26">
        <v>0.1</v>
      </c>
      <c r="L17" s="33">
        <v>1.0</v>
      </c>
      <c r="M17" s="28">
        <f t="shared" si="1"/>
        <v>0.1</v>
      </c>
      <c r="N17" s="29">
        <f t="shared" ref="N17:N19" si="6">L17+2</f>
        <v>3</v>
      </c>
      <c r="O17" s="30">
        <f t="shared" si="3"/>
        <v>0.3</v>
      </c>
      <c r="P17" s="31"/>
      <c r="Q17" s="10"/>
    </row>
    <row r="18">
      <c r="A18" s="60"/>
      <c r="B18" s="12"/>
      <c r="C18" s="23" t="s">
        <v>77</v>
      </c>
      <c r="D18" s="23" t="s">
        <v>78</v>
      </c>
      <c r="E18" s="23" t="s">
        <v>57</v>
      </c>
      <c r="F18" s="23" t="s">
        <v>17</v>
      </c>
      <c r="G18" s="34" t="s">
        <v>31</v>
      </c>
      <c r="H18" s="23" t="s">
        <v>79</v>
      </c>
      <c r="I18" s="24" t="s">
        <v>80</v>
      </c>
      <c r="J18" s="25" t="s">
        <v>20</v>
      </c>
      <c r="K18" s="26">
        <v>0.1</v>
      </c>
      <c r="L18" s="33">
        <v>1.0</v>
      </c>
      <c r="M18" s="28">
        <f t="shared" si="1"/>
        <v>0.1</v>
      </c>
      <c r="N18" s="29">
        <f t="shared" si="6"/>
        <v>3</v>
      </c>
      <c r="O18" s="30">
        <f t="shared" si="3"/>
        <v>0.3</v>
      </c>
      <c r="P18" s="31"/>
      <c r="Q18" s="10"/>
    </row>
    <row r="19">
      <c r="A19" s="60"/>
      <c r="B19" s="12"/>
      <c r="C19" s="23" t="s">
        <v>81</v>
      </c>
      <c r="D19" s="23" t="s">
        <v>82</v>
      </c>
      <c r="E19" s="23" t="s">
        <v>57</v>
      </c>
      <c r="F19" s="23" t="s">
        <v>17</v>
      </c>
      <c r="G19" s="34" t="s">
        <v>31</v>
      </c>
      <c r="H19" s="23" t="s">
        <v>83</v>
      </c>
      <c r="I19" s="24" t="s">
        <v>84</v>
      </c>
      <c r="J19" s="25" t="s">
        <v>20</v>
      </c>
      <c r="K19" s="26">
        <v>0.1</v>
      </c>
      <c r="L19" s="33">
        <v>1.0</v>
      </c>
      <c r="M19" s="28">
        <f t="shared" si="1"/>
        <v>0.1</v>
      </c>
      <c r="N19" s="29">
        <f t="shared" si="6"/>
        <v>3</v>
      </c>
      <c r="O19" s="30">
        <f t="shared" si="3"/>
        <v>0.3</v>
      </c>
      <c r="P19" s="31"/>
      <c r="Q19" s="10"/>
    </row>
    <row r="20">
      <c r="A20" s="60"/>
      <c r="B20" s="12"/>
      <c r="C20" s="23" t="s">
        <v>85</v>
      </c>
      <c r="D20" s="23" t="s">
        <v>86</v>
      </c>
      <c r="E20" s="23" t="s">
        <v>36</v>
      </c>
      <c r="F20" s="23" t="s">
        <v>17</v>
      </c>
      <c r="G20" s="23">
        <v>805.0</v>
      </c>
      <c r="H20" s="23" t="s">
        <v>37</v>
      </c>
      <c r="I20" s="24" t="s">
        <v>38</v>
      </c>
      <c r="J20" s="25" t="s">
        <v>20</v>
      </c>
      <c r="K20" s="26">
        <v>0.15</v>
      </c>
      <c r="L20" s="33">
        <v>2.0</v>
      </c>
      <c r="M20" s="28">
        <f t="shared" si="1"/>
        <v>0.3</v>
      </c>
      <c r="N20" s="29">
        <f>L20+1</f>
        <v>3</v>
      </c>
      <c r="O20" s="30">
        <f t="shared" si="3"/>
        <v>0.45</v>
      </c>
      <c r="P20" s="31"/>
      <c r="Q20" s="10"/>
    </row>
    <row r="21">
      <c r="A21" s="60"/>
      <c r="B21" s="59" t="s">
        <v>87</v>
      </c>
      <c r="C21" s="23" t="s">
        <v>88</v>
      </c>
      <c r="D21" s="23" t="s">
        <v>89</v>
      </c>
      <c r="E21" s="23" t="s">
        <v>57</v>
      </c>
      <c r="F21" s="23" t="s">
        <v>17</v>
      </c>
      <c r="G21" s="34" t="s">
        <v>31</v>
      </c>
      <c r="H21" s="23" t="s">
        <v>90</v>
      </c>
      <c r="I21" s="24" t="s">
        <v>91</v>
      </c>
      <c r="J21" s="25" t="s">
        <v>20</v>
      </c>
      <c r="K21" s="26">
        <v>0.1</v>
      </c>
      <c r="L21" s="33">
        <v>1.0</v>
      </c>
      <c r="M21" s="28">
        <f t="shared" si="1"/>
        <v>0.1</v>
      </c>
      <c r="N21" s="29">
        <f t="shared" ref="N21:N23" si="7">L21+2</f>
        <v>3</v>
      </c>
      <c r="O21" s="30">
        <f t="shared" si="3"/>
        <v>0.3</v>
      </c>
      <c r="P21" s="31"/>
      <c r="Q21" s="10"/>
    </row>
    <row r="22">
      <c r="A22" s="60"/>
      <c r="B22" s="12"/>
      <c r="C22" s="23" t="s">
        <v>92</v>
      </c>
      <c r="D22" s="23" t="s">
        <v>93</v>
      </c>
      <c r="E22" s="23" t="s">
        <v>57</v>
      </c>
      <c r="F22" s="23" t="s">
        <v>17</v>
      </c>
      <c r="G22" s="34" t="s">
        <v>31</v>
      </c>
      <c r="H22" s="23" t="s">
        <v>94</v>
      </c>
      <c r="I22" s="24" t="s">
        <v>95</v>
      </c>
      <c r="J22" s="25" t="s">
        <v>20</v>
      </c>
      <c r="K22" s="26">
        <v>0.1</v>
      </c>
      <c r="L22" s="33">
        <v>1.0</v>
      </c>
      <c r="M22" s="28">
        <f t="shared" si="1"/>
        <v>0.1</v>
      </c>
      <c r="N22" s="29">
        <f t="shared" si="7"/>
        <v>3</v>
      </c>
      <c r="O22" s="30">
        <f t="shared" si="3"/>
        <v>0.3</v>
      </c>
      <c r="P22" s="31"/>
      <c r="Q22" s="10"/>
    </row>
    <row r="23">
      <c r="A23" s="60"/>
      <c r="B23" s="12"/>
      <c r="C23" s="23" t="s">
        <v>96</v>
      </c>
      <c r="D23" s="23" t="s">
        <v>97</v>
      </c>
      <c r="E23" s="23" t="s">
        <v>57</v>
      </c>
      <c r="F23" s="23" t="s">
        <v>17</v>
      </c>
      <c r="G23" s="34" t="s">
        <v>31</v>
      </c>
      <c r="H23" s="23" t="s">
        <v>98</v>
      </c>
      <c r="I23" s="24" t="s">
        <v>99</v>
      </c>
      <c r="J23" s="25" t="s">
        <v>20</v>
      </c>
      <c r="K23" s="26">
        <v>0.1</v>
      </c>
      <c r="L23" s="33">
        <v>1.0</v>
      </c>
      <c r="M23" s="28">
        <f t="shared" si="1"/>
        <v>0.1</v>
      </c>
      <c r="N23" s="29">
        <f t="shared" si="7"/>
        <v>3</v>
      </c>
      <c r="O23" s="30">
        <f t="shared" si="3"/>
        <v>0.3</v>
      </c>
      <c r="P23" s="31"/>
      <c r="Q23" s="10"/>
    </row>
    <row r="24">
      <c r="A24" s="60"/>
      <c r="B24" s="12"/>
      <c r="C24" s="23" t="s">
        <v>100</v>
      </c>
      <c r="D24" s="23" t="s">
        <v>86</v>
      </c>
      <c r="E24" s="23" t="s">
        <v>36</v>
      </c>
      <c r="F24" s="23" t="s">
        <v>17</v>
      </c>
      <c r="G24" s="23">
        <v>805.0</v>
      </c>
      <c r="H24" s="23" t="s">
        <v>37</v>
      </c>
      <c r="I24" s="24" t="s">
        <v>38</v>
      </c>
      <c r="J24" s="25" t="s">
        <v>20</v>
      </c>
      <c r="K24" s="26">
        <v>0.15</v>
      </c>
      <c r="L24" s="33">
        <v>2.0</v>
      </c>
      <c r="M24" s="28">
        <f t="shared" si="1"/>
        <v>0.3</v>
      </c>
      <c r="N24" s="29">
        <f>L24+1</f>
        <v>3</v>
      </c>
      <c r="O24" s="30">
        <f t="shared" si="3"/>
        <v>0.45</v>
      </c>
      <c r="P24" s="31"/>
      <c r="Q24" s="10"/>
    </row>
    <row r="25">
      <c r="A25" s="60"/>
      <c r="B25" s="59" t="s">
        <v>101</v>
      </c>
      <c r="C25" s="23" t="s">
        <v>102</v>
      </c>
      <c r="D25" s="23" t="s">
        <v>103</v>
      </c>
      <c r="E25" s="23" t="s">
        <v>57</v>
      </c>
      <c r="F25" s="23" t="s">
        <v>17</v>
      </c>
      <c r="G25" s="34" t="s">
        <v>31</v>
      </c>
      <c r="H25" s="23" t="s">
        <v>104</v>
      </c>
      <c r="I25" s="24" t="s">
        <v>105</v>
      </c>
      <c r="J25" s="25" t="s">
        <v>20</v>
      </c>
      <c r="K25" s="26">
        <v>0.1</v>
      </c>
      <c r="L25" s="33">
        <v>1.0</v>
      </c>
      <c r="M25" s="28">
        <f t="shared" si="1"/>
        <v>0.1</v>
      </c>
      <c r="N25" s="29">
        <f t="shared" ref="N25:N27" si="8">L25+2</f>
        <v>3</v>
      </c>
      <c r="O25" s="30">
        <f t="shared" si="3"/>
        <v>0.3</v>
      </c>
      <c r="P25" s="31"/>
      <c r="Q25" s="10"/>
    </row>
    <row r="26">
      <c r="A26" s="60"/>
      <c r="B26" s="12"/>
      <c r="C26" s="23" t="s">
        <v>106</v>
      </c>
      <c r="D26" s="23" t="s">
        <v>107</v>
      </c>
      <c r="E26" s="23" t="s">
        <v>57</v>
      </c>
      <c r="F26" s="23" t="s">
        <v>17</v>
      </c>
      <c r="G26" s="34" t="s">
        <v>31</v>
      </c>
      <c r="H26" s="23" t="s">
        <v>108</v>
      </c>
      <c r="I26" s="24" t="s">
        <v>109</v>
      </c>
      <c r="J26" s="25" t="s">
        <v>20</v>
      </c>
      <c r="K26" s="26">
        <v>0.1</v>
      </c>
      <c r="L26" s="33">
        <v>1.0</v>
      </c>
      <c r="M26" s="28">
        <f t="shared" si="1"/>
        <v>0.1</v>
      </c>
      <c r="N26" s="29">
        <f t="shared" si="8"/>
        <v>3</v>
      </c>
      <c r="O26" s="30">
        <f t="shared" si="3"/>
        <v>0.3</v>
      </c>
      <c r="P26" s="31"/>
      <c r="Q26" s="10"/>
    </row>
    <row r="27">
      <c r="A27" s="60"/>
      <c r="B27" s="12"/>
      <c r="C27" s="23" t="s">
        <v>110</v>
      </c>
      <c r="D27" s="23" t="s">
        <v>111</v>
      </c>
      <c r="E27" s="23" t="s">
        <v>57</v>
      </c>
      <c r="F27" s="23" t="s">
        <v>17</v>
      </c>
      <c r="G27" s="34" t="s">
        <v>31</v>
      </c>
      <c r="H27" s="23" t="s">
        <v>112</v>
      </c>
      <c r="I27" s="24" t="s">
        <v>113</v>
      </c>
      <c r="J27" s="25" t="s">
        <v>20</v>
      </c>
      <c r="K27" s="26">
        <v>0.11</v>
      </c>
      <c r="L27" s="33">
        <v>1.0</v>
      </c>
      <c r="M27" s="28">
        <f t="shared" si="1"/>
        <v>0.11</v>
      </c>
      <c r="N27" s="29">
        <f t="shared" si="8"/>
        <v>3</v>
      </c>
      <c r="O27" s="30">
        <f t="shared" si="3"/>
        <v>0.33</v>
      </c>
      <c r="P27" s="31"/>
      <c r="Q27" s="10"/>
    </row>
    <row r="28">
      <c r="A28" s="60"/>
      <c r="B28" s="12"/>
      <c r="C28" s="23" t="s">
        <v>114</v>
      </c>
      <c r="D28" s="23" t="s">
        <v>115</v>
      </c>
      <c r="E28" s="23" t="s">
        <v>36</v>
      </c>
      <c r="F28" s="23" t="s">
        <v>17</v>
      </c>
      <c r="G28" s="34" t="s">
        <v>31</v>
      </c>
      <c r="H28" s="23" t="s">
        <v>116</v>
      </c>
      <c r="I28" s="24" t="s">
        <v>117</v>
      </c>
      <c r="J28" s="25" t="s">
        <v>20</v>
      </c>
      <c r="K28" s="26">
        <v>0.2</v>
      </c>
      <c r="L28" s="33">
        <v>2.0</v>
      </c>
      <c r="M28" s="28">
        <f t="shared" si="1"/>
        <v>0.4</v>
      </c>
      <c r="N28" s="29">
        <f>L28+1</f>
        <v>3</v>
      </c>
      <c r="O28" s="30">
        <f t="shared" si="3"/>
        <v>0.6</v>
      </c>
      <c r="P28" s="31"/>
      <c r="Q28" s="10"/>
    </row>
    <row r="29">
      <c r="A29" s="60"/>
      <c r="B29" s="59" t="s">
        <v>118</v>
      </c>
      <c r="C29" s="23" t="s">
        <v>119</v>
      </c>
      <c r="D29" s="23" t="s">
        <v>120</v>
      </c>
      <c r="E29" s="23" t="s">
        <v>57</v>
      </c>
      <c r="F29" s="23" t="s">
        <v>17</v>
      </c>
      <c r="G29" s="34" t="s">
        <v>31</v>
      </c>
      <c r="H29" s="23" t="s">
        <v>121</v>
      </c>
      <c r="I29" s="24" t="s">
        <v>122</v>
      </c>
      <c r="J29" s="25" t="s">
        <v>20</v>
      </c>
      <c r="K29" s="26">
        <v>0.1</v>
      </c>
      <c r="L29" s="33">
        <v>1.0</v>
      </c>
      <c r="M29" s="28">
        <f t="shared" si="1"/>
        <v>0.1</v>
      </c>
      <c r="N29" s="29">
        <f t="shared" ref="N29:N31" si="9">L29+2</f>
        <v>3</v>
      </c>
      <c r="O29" s="30">
        <f t="shared" si="3"/>
        <v>0.3</v>
      </c>
      <c r="P29" s="31"/>
      <c r="Q29" s="10"/>
    </row>
    <row r="30">
      <c r="A30" s="60"/>
      <c r="B30" s="12"/>
      <c r="C30" s="61" t="s">
        <v>123</v>
      </c>
      <c r="D30" s="61">
        <v>37.4</v>
      </c>
      <c r="E30" s="61" t="s">
        <v>57</v>
      </c>
      <c r="F30" s="61" t="s">
        <v>17</v>
      </c>
      <c r="G30" s="62" t="s">
        <v>31</v>
      </c>
      <c r="H30" s="61" t="s">
        <v>124</v>
      </c>
      <c r="I30" s="63" t="s">
        <v>125</v>
      </c>
      <c r="J30" s="64" t="s">
        <v>20</v>
      </c>
      <c r="K30" s="65">
        <v>0.1</v>
      </c>
      <c r="L30" s="63">
        <v>1.0</v>
      </c>
      <c r="M30" s="66">
        <f t="shared" si="1"/>
        <v>0.1</v>
      </c>
      <c r="N30" s="67">
        <f t="shared" si="9"/>
        <v>3</v>
      </c>
      <c r="O30" s="30">
        <f t="shared" si="3"/>
        <v>0.3</v>
      </c>
      <c r="P30" s="31"/>
      <c r="Q30" s="10"/>
    </row>
    <row r="31">
      <c r="A31" s="60"/>
      <c r="B31" s="12"/>
      <c r="C31" s="23" t="s">
        <v>126</v>
      </c>
      <c r="D31" s="23" t="s">
        <v>127</v>
      </c>
      <c r="E31" s="23" t="s">
        <v>57</v>
      </c>
      <c r="F31" s="23" t="s">
        <v>17</v>
      </c>
      <c r="G31" s="34" t="s">
        <v>31</v>
      </c>
      <c r="H31" s="23" t="s">
        <v>128</v>
      </c>
      <c r="I31" s="24" t="s">
        <v>129</v>
      </c>
      <c r="J31" s="25" t="s">
        <v>20</v>
      </c>
      <c r="K31" s="26">
        <v>0.1</v>
      </c>
      <c r="L31" s="33">
        <v>1.0</v>
      </c>
      <c r="M31" s="28">
        <f t="shared" si="1"/>
        <v>0.1</v>
      </c>
      <c r="N31" s="29">
        <f t="shared" si="9"/>
        <v>3</v>
      </c>
      <c r="O31" s="30">
        <f t="shared" si="3"/>
        <v>0.3</v>
      </c>
      <c r="P31" s="31"/>
      <c r="Q31" s="10"/>
    </row>
    <row r="32">
      <c r="A32" s="60"/>
      <c r="B32" s="12"/>
      <c r="C32" s="23" t="s">
        <v>130</v>
      </c>
      <c r="D32" s="23" t="s">
        <v>115</v>
      </c>
      <c r="E32" s="23" t="s">
        <v>36</v>
      </c>
      <c r="F32" s="23" t="s">
        <v>17</v>
      </c>
      <c r="G32" s="34" t="s">
        <v>31</v>
      </c>
      <c r="H32" s="23" t="s">
        <v>116</v>
      </c>
      <c r="I32" s="24" t="s">
        <v>117</v>
      </c>
      <c r="J32" s="25" t="s">
        <v>20</v>
      </c>
      <c r="K32" s="26">
        <v>0.2</v>
      </c>
      <c r="L32" s="33">
        <v>2.0</v>
      </c>
      <c r="M32" s="28">
        <f t="shared" si="1"/>
        <v>0.4</v>
      </c>
      <c r="N32" s="29">
        <f>L32+1</f>
        <v>3</v>
      </c>
      <c r="O32" s="30">
        <f t="shared" si="3"/>
        <v>0.6</v>
      </c>
      <c r="P32" s="31"/>
      <c r="Q32" s="10"/>
    </row>
    <row r="33">
      <c r="A33" s="60"/>
      <c r="B33" s="59" t="s">
        <v>131</v>
      </c>
      <c r="C33" s="23" t="s">
        <v>132</v>
      </c>
      <c r="D33" s="23" t="s">
        <v>133</v>
      </c>
      <c r="E33" s="23" t="s">
        <v>57</v>
      </c>
      <c r="F33" s="23" t="s">
        <v>17</v>
      </c>
      <c r="G33" s="34" t="s">
        <v>31</v>
      </c>
      <c r="H33" s="23" t="s">
        <v>134</v>
      </c>
      <c r="I33" s="24" t="s">
        <v>135</v>
      </c>
      <c r="J33" s="25" t="s">
        <v>20</v>
      </c>
      <c r="K33" s="26">
        <v>0.1</v>
      </c>
      <c r="L33" s="33">
        <v>1.0</v>
      </c>
      <c r="M33" s="28">
        <f t="shared" si="1"/>
        <v>0.1</v>
      </c>
      <c r="N33" s="29">
        <f t="shared" ref="N33:N34" si="10">L33+2</f>
        <v>3</v>
      </c>
      <c r="O33" s="30">
        <f t="shared" si="3"/>
        <v>0.3</v>
      </c>
      <c r="P33" s="31"/>
      <c r="Q33" s="10"/>
    </row>
    <row r="34">
      <c r="A34" s="60"/>
      <c r="B34" s="12"/>
      <c r="C34" s="23" t="s">
        <v>136</v>
      </c>
      <c r="D34" s="23" t="s">
        <v>137</v>
      </c>
      <c r="E34" s="23" t="s">
        <v>57</v>
      </c>
      <c r="F34" s="23" t="s">
        <v>17</v>
      </c>
      <c r="G34" s="34" t="s">
        <v>31</v>
      </c>
      <c r="H34" s="23" t="s">
        <v>138</v>
      </c>
      <c r="I34" s="24" t="s">
        <v>139</v>
      </c>
      <c r="J34" s="25" t="s">
        <v>20</v>
      </c>
      <c r="K34" s="26">
        <v>0.1</v>
      </c>
      <c r="L34" s="33">
        <v>1.0</v>
      </c>
      <c r="M34" s="28">
        <f t="shared" si="1"/>
        <v>0.1</v>
      </c>
      <c r="N34" s="29">
        <f t="shared" si="10"/>
        <v>3</v>
      </c>
      <c r="O34" s="30">
        <f t="shared" si="3"/>
        <v>0.3</v>
      </c>
      <c r="P34" s="31"/>
      <c r="Q34" s="10"/>
    </row>
    <row r="35">
      <c r="A35" s="60"/>
      <c r="B35" s="12"/>
      <c r="C35" s="23" t="s">
        <v>140</v>
      </c>
      <c r="D35" s="23" t="s">
        <v>141</v>
      </c>
      <c r="E35" s="23" t="s">
        <v>142</v>
      </c>
      <c r="F35" s="23" t="s">
        <v>17</v>
      </c>
      <c r="G35" s="34" t="s">
        <v>31</v>
      </c>
      <c r="H35" s="23" t="s">
        <v>143</v>
      </c>
      <c r="I35" s="24" t="s">
        <v>144</v>
      </c>
      <c r="J35" s="25" t="s">
        <v>20</v>
      </c>
      <c r="K35" s="26">
        <v>0.11</v>
      </c>
      <c r="L35" s="33">
        <v>1.0</v>
      </c>
      <c r="M35" s="28">
        <f t="shared" si="1"/>
        <v>0.11</v>
      </c>
      <c r="N35" s="29">
        <f t="shared" ref="N35:N39" si="11">L35+1</f>
        <v>2</v>
      </c>
      <c r="O35" s="30">
        <f t="shared" si="3"/>
        <v>0.22</v>
      </c>
      <c r="P35" s="31"/>
      <c r="Q35" s="10"/>
    </row>
    <row r="36">
      <c r="A36" s="68"/>
      <c r="B36" s="42"/>
      <c r="C36" s="69" t="s">
        <v>145</v>
      </c>
      <c r="D36" s="69" t="s">
        <v>146</v>
      </c>
      <c r="E36" s="69" t="s">
        <v>142</v>
      </c>
      <c r="F36" s="69" t="s">
        <v>17</v>
      </c>
      <c r="G36" s="70" t="s">
        <v>31</v>
      </c>
      <c r="H36" s="69" t="s">
        <v>147</v>
      </c>
      <c r="I36" s="53" t="s">
        <v>148</v>
      </c>
      <c r="J36" s="71" t="s">
        <v>20</v>
      </c>
      <c r="K36" s="72">
        <v>0.1</v>
      </c>
      <c r="L36" s="56">
        <v>1.0</v>
      </c>
      <c r="M36" s="28">
        <f t="shared" si="1"/>
        <v>0.1</v>
      </c>
      <c r="N36" s="29">
        <f t="shared" si="11"/>
        <v>2</v>
      </c>
      <c r="O36" s="30">
        <f t="shared" si="3"/>
        <v>0.2</v>
      </c>
      <c r="P36" s="31"/>
      <c r="Q36" s="10"/>
    </row>
    <row r="37">
      <c r="A37" s="73" t="s">
        <v>149</v>
      </c>
      <c r="B37" s="12"/>
      <c r="C37" s="23" t="s">
        <v>150</v>
      </c>
      <c r="D37" s="23" t="s">
        <v>151</v>
      </c>
      <c r="E37" s="32"/>
      <c r="F37" s="23" t="s">
        <v>152</v>
      </c>
      <c r="G37" s="74"/>
      <c r="H37" s="23" t="s">
        <v>153</v>
      </c>
      <c r="I37" s="24" t="s">
        <v>154</v>
      </c>
      <c r="J37" s="25" t="s">
        <v>20</v>
      </c>
      <c r="K37" s="26">
        <v>1.53</v>
      </c>
      <c r="L37" s="33">
        <v>6.0</v>
      </c>
      <c r="M37" s="28">
        <f t="shared" si="1"/>
        <v>9.18</v>
      </c>
      <c r="N37" s="29">
        <f t="shared" si="11"/>
        <v>7</v>
      </c>
      <c r="O37" s="30">
        <f t="shared" si="3"/>
        <v>10.71</v>
      </c>
      <c r="P37" s="31"/>
      <c r="Q37" s="10"/>
    </row>
    <row r="38">
      <c r="A38" s="11"/>
      <c r="B38" s="12"/>
      <c r="C38" s="23" t="s">
        <v>155</v>
      </c>
      <c r="D38" s="23" t="s">
        <v>156</v>
      </c>
      <c r="E38" s="23" t="s">
        <v>57</v>
      </c>
      <c r="F38" s="23" t="s">
        <v>17</v>
      </c>
      <c r="G38" s="34" t="s">
        <v>31</v>
      </c>
      <c r="H38" s="23" t="s">
        <v>157</v>
      </c>
      <c r="I38" s="24" t="s">
        <v>158</v>
      </c>
      <c r="J38" s="25" t="s">
        <v>20</v>
      </c>
      <c r="K38" s="26">
        <v>0.1</v>
      </c>
      <c r="L38" s="33">
        <v>6.0</v>
      </c>
      <c r="M38" s="28">
        <f t="shared" si="1"/>
        <v>0.6</v>
      </c>
      <c r="N38" s="29">
        <f t="shared" si="11"/>
        <v>7</v>
      </c>
      <c r="O38" s="30">
        <f t="shared" si="3"/>
        <v>0.7</v>
      </c>
      <c r="P38" s="31"/>
      <c r="Q38" s="10"/>
    </row>
    <row r="39">
      <c r="A39" s="11"/>
      <c r="B39" s="12"/>
      <c r="C39" s="23" t="s">
        <v>159</v>
      </c>
      <c r="D39" s="23" t="s">
        <v>160</v>
      </c>
      <c r="E39" s="23" t="s">
        <v>161</v>
      </c>
      <c r="F39" s="23" t="s">
        <v>17</v>
      </c>
      <c r="G39" s="34" t="s">
        <v>31</v>
      </c>
      <c r="H39" s="23" t="s">
        <v>162</v>
      </c>
      <c r="I39" s="24" t="s">
        <v>163</v>
      </c>
      <c r="J39" s="25" t="s">
        <v>20</v>
      </c>
      <c r="K39" s="26">
        <v>0.1</v>
      </c>
      <c r="L39" s="33">
        <v>1.0</v>
      </c>
      <c r="M39" s="28">
        <f t="shared" si="1"/>
        <v>0.1</v>
      </c>
      <c r="N39" s="29">
        <f t="shared" si="11"/>
        <v>2</v>
      </c>
      <c r="O39" s="30">
        <f t="shared" si="3"/>
        <v>0.2</v>
      </c>
      <c r="P39" s="31"/>
      <c r="Q39" s="10"/>
    </row>
    <row r="40">
      <c r="A40" s="75" t="s">
        <v>164</v>
      </c>
      <c r="B40" s="9"/>
      <c r="C40" s="76" t="s">
        <v>165</v>
      </c>
      <c r="D40" s="77"/>
      <c r="E40" s="77"/>
      <c r="F40" s="76" t="s">
        <v>17</v>
      </c>
      <c r="G40" s="77"/>
      <c r="H40" s="76">
        <v>5015.0</v>
      </c>
      <c r="I40" s="78" t="s">
        <v>166</v>
      </c>
      <c r="J40" s="79" t="s">
        <v>20</v>
      </c>
      <c r="K40" s="55">
        <v>0.363</v>
      </c>
      <c r="L40" s="80">
        <v>11.0</v>
      </c>
      <c r="M40" s="28">
        <f t="shared" si="1"/>
        <v>3.993</v>
      </c>
      <c r="N40" s="29">
        <f>L40+2</f>
        <v>13</v>
      </c>
      <c r="O40" s="30">
        <f t="shared" si="3"/>
        <v>4.719</v>
      </c>
      <c r="P40" s="31"/>
      <c r="Q40" s="10"/>
    </row>
    <row r="41">
      <c r="A41" s="75" t="s">
        <v>167</v>
      </c>
      <c r="B41" s="9"/>
      <c r="C41" s="76" t="s">
        <v>168</v>
      </c>
      <c r="D41" s="81"/>
      <c r="E41" s="82"/>
      <c r="F41" s="76" t="s">
        <v>17</v>
      </c>
      <c r="G41" s="83" t="s">
        <v>169</v>
      </c>
      <c r="H41" s="76" t="s">
        <v>170</v>
      </c>
      <c r="I41" s="78" t="s">
        <v>171</v>
      </c>
      <c r="J41" s="79" t="s">
        <v>20</v>
      </c>
      <c r="K41" s="84">
        <v>5.88</v>
      </c>
      <c r="L41" s="85">
        <v>2.0</v>
      </c>
      <c r="M41" s="28">
        <f t="shared" si="1"/>
        <v>11.76</v>
      </c>
      <c r="N41" s="86">
        <f>L41+1</f>
        <v>3</v>
      </c>
      <c r="O41" s="30">
        <f t="shared" si="3"/>
        <v>17.64</v>
      </c>
      <c r="P41" s="10"/>
      <c r="Q41" s="10"/>
    </row>
    <row r="42">
      <c r="A42" s="73"/>
      <c r="B42" s="13"/>
      <c r="C42" s="23"/>
      <c r="F42" s="23"/>
      <c r="H42" s="23"/>
      <c r="I42" s="23"/>
      <c r="K42" s="87" t="s">
        <v>172</v>
      </c>
      <c r="L42" s="88">
        <f t="shared" ref="L42:M42" si="12">SUM(L5:L41)</f>
        <v>64</v>
      </c>
      <c r="M42" s="89">
        <f t="shared" si="12"/>
        <v>39.153</v>
      </c>
      <c r="N42" s="88">
        <f>sum(N5:N41)</f>
        <v>118</v>
      </c>
      <c r="O42" s="90">
        <f>SUM(O4:O41)</f>
        <v>60.399</v>
      </c>
    </row>
    <row r="43">
      <c r="A43" s="73"/>
      <c r="B43" s="13" t="s">
        <v>173</v>
      </c>
      <c r="C43" s="23" t="s">
        <v>174</v>
      </c>
      <c r="D43" s="23"/>
      <c r="E43" s="91"/>
      <c r="F43" s="23"/>
      <c r="G43" s="91"/>
      <c r="H43" s="23" t="s">
        <v>175</v>
      </c>
      <c r="I43" s="23" t="s">
        <v>176</v>
      </c>
      <c r="K43" s="92">
        <v>7.95</v>
      </c>
      <c r="L43" s="23">
        <v>1.0</v>
      </c>
      <c r="M43" s="92">
        <v>7.95</v>
      </c>
      <c r="N43" s="93">
        <v>1.0</v>
      </c>
      <c r="O43" s="90"/>
    </row>
    <row r="44">
      <c r="A44" s="73"/>
      <c r="B44" s="13"/>
      <c r="C44" s="23"/>
      <c r="D44" s="23"/>
      <c r="E44" s="91"/>
      <c r="F44" s="23"/>
      <c r="G44" s="91"/>
      <c r="H44" s="23"/>
      <c r="I44" s="23"/>
      <c r="L44" s="23"/>
      <c r="M44" s="31"/>
    </row>
    <row r="45">
      <c r="A45" s="73"/>
      <c r="B45" s="94" t="s">
        <v>177</v>
      </c>
      <c r="C45" s="94" t="s">
        <v>151</v>
      </c>
      <c r="D45" s="95"/>
      <c r="E45" s="31" t="s">
        <v>152</v>
      </c>
      <c r="F45" s="95"/>
      <c r="G45" s="31" t="s">
        <v>178</v>
      </c>
      <c r="H45" s="96" t="s">
        <v>179</v>
      </c>
      <c r="I45" s="97" t="s">
        <v>20</v>
      </c>
      <c r="J45" s="98">
        <v>1.53</v>
      </c>
      <c r="K45" s="99">
        <v>6.0</v>
      </c>
      <c r="L45" s="100">
        <f>K45*J45</f>
        <v>9.18</v>
      </c>
      <c r="M45" s="31">
        <v>0.0</v>
      </c>
      <c r="N45" s="101">
        <f>M45*J45</f>
        <v>0</v>
      </c>
    </row>
    <row r="46">
      <c r="A46" s="73"/>
      <c r="B46" s="13"/>
      <c r="C46" s="23"/>
      <c r="D46" s="23"/>
      <c r="E46" s="91"/>
      <c r="F46" s="23"/>
      <c r="G46" s="91"/>
      <c r="H46" s="23"/>
      <c r="I46" s="23"/>
      <c r="J46" s="91"/>
      <c r="K46" s="91"/>
      <c r="L46" s="23"/>
      <c r="M46" s="31"/>
    </row>
    <row r="47">
      <c r="A47" s="73"/>
      <c r="B47" s="13"/>
      <c r="C47" s="23"/>
      <c r="D47" s="23"/>
      <c r="E47" s="91"/>
      <c r="F47" s="23"/>
      <c r="G47" s="91"/>
      <c r="H47" s="23"/>
      <c r="I47" s="23"/>
      <c r="J47" s="91"/>
      <c r="K47" s="91"/>
      <c r="L47" s="23"/>
      <c r="M47" s="31"/>
    </row>
    <row r="48">
      <c r="A48" s="73"/>
      <c r="B48" s="13"/>
      <c r="J48" s="91"/>
      <c r="K48" s="91"/>
      <c r="L48" s="23"/>
      <c r="M48" s="31"/>
    </row>
    <row r="49">
      <c r="K49" s="91"/>
      <c r="M49" s="31"/>
    </row>
    <row r="50">
      <c r="B50" s="91"/>
      <c r="G50" s="91"/>
      <c r="H50" s="91"/>
      <c r="J50" s="91"/>
      <c r="K50" s="91"/>
      <c r="L50" s="23"/>
      <c r="M50" s="31"/>
    </row>
    <row r="51">
      <c r="B51" s="91"/>
      <c r="G51" s="91"/>
      <c r="H51" s="91"/>
      <c r="J51" s="91"/>
      <c r="K51" s="91"/>
      <c r="L51" s="23"/>
      <c r="M51" s="31"/>
    </row>
    <row r="52">
      <c r="A52" s="102"/>
      <c r="D52" s="102"/>
      <c r="E52" s="102"/>
      <c r="F52" s="102"/>
      <c r="G52" s="102"/>
      <c r="H52" s="102"/>
      <c r="J52" s="102"/>
      <c r="K52" s="102"/>
      <c r="M52" s="31"/>
    </row>
    <row r="53">
      <c r="K53" s="103"/>
      <c r="L53" s="23"/>
      <c r="M53" s="31"/>
    </row>
    <row r="54">
      <c r="K54" s="102"/>
      <c r="M54" s="104"/>
    </row>
  </sheetData>
  <mergeCells count="13">
    <mergeCell ref="B25:B28"/>
    <mergeCell ref="B29:B32"/>
    <mergeCell ref="A37:B39"/>
    <mergeCell ref="A40:B40"/>
    <mergeCell ref="A41:B41"/>
    <mergeCell ref="A3:B11"/>
    <mergeCell ref="C3:N3"/>
    <mergeCell ref="A12:B12"/>
    <mergeCell ref="A13:A36"/>
    <mergeCell ref="B13:B16"/>
    <mergeCell ref="B17:B20"/>
    <mergeCell ref="B21:B24"/>
    <mergeCell ref="B33:B36"/>
  </mergeCells>
  <hyperlinks>
    <hyperlink r:id="rId1" ref="J5"/>
    <hyperlink r:id="rId2" ref="J6"/>
    <hyperlink r:id="rId3" location="page=50.12" ref="J7"/>
    <hyperlink r:id="rId4" ref="J9"/>
    <hyperlink r:id="rId5" ref="J10"/>
    <hyperlink r:id="rId6" ref="J11"/>
    <hyperlink r:id="rId7" ref="J12"/>
    <hyperlink r:id="rId8" ref="J13"/>
    <hyperlink r:id="rId9" ref="J14"/>
    <hyperlink r:id="rId10" ref="J15"/>
    <hyperlink r:id="rId11" ref="J16"/>
    <hyperlink r:id="rId12" ref="J17"/>
    <hyperlink r:id="rId13" ref="J18"/>
    <hyperlink r:id="rId14" ref="J19"/>
    <hyperlink r:id="rId15" ref="J20"/>
    <hyperlink r:id="rId16" ref="J21"/>
    <hyperlink r:id="rId17" ref="J22"/>
    <hyperlink r:id="rId18" ref="J23"/>
    <hyperlink r:id="rId19" ref="J24"/>
    <hyperlink r:id="rId20" ref="J25"/>
    <hyperlink r:id="rId21" ref="J26"/>
    <hyperlink r:id="rId22" ref="J27"/>
    <hyperlink r:id="rId23" ref="J28"/>
    <hyperlink r:id="rId24" ref="J29"/>
    <hyperlink r:id="rId25" ref="J30"/>
    <hyperlink r:id="rId26" ref="J31"/>
    <hyperlink r:id="rId27" ref="J32"/>
    <hyperlink r:id="rId28" ref="J33"/>
    <hyperlink r:id="rId29" ref="J34"/>
    <hyperlink r:id="rId30" ref="J35"/>
    <hyperlink r:id="rId31" ref="J36"/>
    <hyperlink r:id="rId32" ref="J37"/>
    <hyperlink r:id="rId33" ref="J38"/>
    <hyperlink r:id="rId34" ref="J39"/>
    <hyperlink r:id="rId35" ref="J40"/>
    <hyperlink r:id="rId36" ref="J41"/>
    <hyperlink r:id="rId37" ref="I4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19.75"/>
    <col customWidth="1" min="3" max="3" width="10.0"/>
  </cols>
  <sheetData>
    <row r="1">
      <c r="A1" s="23" t="s">
        <v>19</v>
      </c>
      <c r="B1" s="31">
        <v>2.0</v>
      </c>
    </row>
    <row r="2">
      <c r="A2" s="23" t="s">
        <v>23</v>
      </c>
      <c r="B2" s="31">
        <v>2.0</v>
      </c>
    </row>
    <row r="3">
      <c r="A3" s="23" t="s">
        <v>27</v>
      </c>
      <c r="B3" s="91">
        <v>2.0</v>
      </c>
    </row>
    <row r="4">
      <c r="A4" s="23" t="s">
        <v>33</v>
      </c>
      <c r="B4" s="91">
        <v>2.0</v>
      </c>
    </row>
    <row r="5">
      <c r="A5" s="23" t="s">
        <v>38</v>
      </c>
      <c r="B5" s="91">
        <v>2.0</v>
      </c>
      <c r="C5" s="105"/>
    </row>
    <row r="6">
      <c r="A6" s="35" t="s">
        <v>44</v>
      </c>
      <c r="B6" s="106">
        <v>3.0</v>
      </c>
      <c r="C6" s="4"/>
    </row>
    <row r="7">
      <c r="A7" s="35" t="s">
        <v>48</v>
      </c>
      <c r="B7" s="106">
        <v>2.0</v>
      </c>
      <c r="C7" s="107"/>
    </row>
    <row r="8">
      <c r="A8" s="23" t="s">
        <v>52</v>
      </c>
      <c r="B8" s="91">
        <v>3.0</v>
      </c>
      <c r="C8" s="107"/>
    </row>
    <row r="9">
      <c r="A9" s="23" t="s">
        <v>59</v>
      </c>
      <c r="B9" s="91">
        <v>3.0</v>
      </c>
      <c r="C9" s="23"/>
    </row>
    <row r="10">
      <c r="A10" s="23" t="s">
        <v>63</v>
      </c>
      <c r="B10" s="91">
        <v>3.0</v>
      </c>
      <c r="C10" s="23"/>
    </row>
    <row r="11">
      <c r="A11" s="23" t="s">
        <v>66</v>
      </c>
      <c r="B11" s="91">
        <v>2.0</v>
      </c>
      <c r="C11" s="23"/>
    </row>
    <row r="12">
      <c r="A12" s="23" t="s">
        <v>71</v>
      </c>
      <c r="B12" s="91">
        <v>2.0</v>
      </c>
      <c r="C12" s="23"/>
    </row>
    <row r="13">
      <c r="A13" s="23" t="s">
        <v>76</v>
      </c>
      <c r="B13" s="91">
        <v>3.0</v>
      </c>
      <c r="C13" s="23"/>
    </row>
    <row r="14">
      <c r="A14" s="23" t="s">
        <v>80</v>
      </c>
      <c r="B14" s="91">
        <v>3.0</v>
      </c>
      <c r="C14" s="23"/>
    </row>
    <row r="15">
      <c r="A15" s="23" t="s">
        <v>84</v>
      </c>
      <c r="B15" s="91">
        <v>3.0</v>
      </c>
      <c r="C15" s="91"/>
    </row>
    <row r="16">
      <c r="A16" s="23" t="s">
        <v>38</v>
      </c>
      <c r="B16" s="91">
        <v>3.0</v>
      </c>
      <c r="C16" s="23"/>
    </row>
    <row r="17">
      <c r="A17" s="23" t="s">
        <v>91</v>
      </c>
      <c r="B17" s="91">
        <v>3.0</v>
      </c>
      <c r="C17" s="91"/>
    </row>
    <row r="18">
      <c r="A18" s="23" t="s">
        <v>95</v>
      </c>
      <c r="B18" s="91">
        <v>3.0</v>
      </c>
      <c r="C18" s="23"/>
    </row>
    <row r="19">
      <c r="A19" s="23" t="s">
        <v>99</v>
      </c>
      <c r="B19" s="91">
        <v>3.0</v>
      </c>
      <c r="C19" s="23"/>
    </row>
    <row r="20">
      <c r="A20" s="23" t="s">
        <v>38</v>
      </c>
      <c r="B20" s="91">
        <v>3.0</v>
      </c>
      <c r="C20" s="23"/>
    </row>
    <row r="21">
      <c r="A21" s="23" t="s">
        <v>105</v>
      </c>
      <c r="B21" s="91">
        <v>3.0</v>
      </c>
      <c r="C21" s="23"/>
    </row>
    <row r="22">
      <c r="A22" s="23" t="s">
        <v>109</v>
      </c>
      <c r="B22" s="91">
        <v>3.0</v>
      </c>
      <c r="C22" s="23"/>
    </row>
    <row r="23">
      <c r="A23" s="23" t="s">
        <v>113</v>
      </c>
      <c r="B23" s="91">
        <v>3.0</v>
      </c>
      <c r="C23" s="23"/>
    </row>
    <row r="24">
      <c r="A24" s="23" t="s">
        <v>117</v>
      </c>
      <c r="B24" s="91">
        <v>3.0</v>
      </c>
      <c r="C24" s="23"/>
    </row>
    <row r="25">
      <c r="A25" s="23" t="s">
        <v>122</v>
      </c>
      <c r="B25" s="91">
        <v>3.0</v>
      </c>
      <c r="C25" s="23"/>
    </row>
    <row r="26">
      <c r="A26" s="23" t="s">
        <v>180</v>
      </c>
      <c r="B26" s="91">
        <v>3.0</v>
      </c>
      <c r="C26" s="23"/>
    </row>
    <row r="27">
      <c r="A27" s="23" t="s">
        <v>129</v>
      </c>
      <c r="B27" s="91">
        <v>3.0</v>
      </c>
      <c r="C27" s="23"/>
    </row>
    <row r="28">
      <c r="A28" s="23" t="s">
        <v>117</v>
      </c>
      <c r="B28" s="91">
        <v>3.0</v>
      </c>
      <c r="C28" s="23"/>
    </row>
    <row r="29">
      <c r="A29" s="23" t="s">
        <v>135</v>
      </c>
      <c r="B29" s="91">
        <v>3.0</v>
      </c>
      <c r="C29" s="23"/>
    </row>
    <row r="30">
      <c r="A30" s="23" t="s">
        <v>139</v>
      </c>
      <c r="B30" s="91">
        <v>3.0</v>
      </c>
      <c r="C30" s="23"/>
    </row>
    <row r="31">
      <c r="A31" s="23" t="s">
        <v>144</v>
      </c>
      <c r="B31" s="91">
        <v>2.0</v>
      </c>
      <c r="C31" s="23"/>
    </row>
    <row r="32">
      <c r="A32" s="23" t="s">
        <v>148</v>
      </c>
      <c r="B32" s="91">
        <v>2.0</v>
      </c>
      <c r="C32" s="23"/>
    </row>
    <row r="33">
      <c r="A33" s="23" t="s">
        <v>154</v>
      </c>
      <c r="B33" s="91">
        <v>7.0</v>
      </c>
      <c r="C33" s="23"/>
    </row>
    <row r="34">
      <c r="A34" s="23" t="s">
        <v>158</v>
      </c>
      <c r="B34" s="91">
        <v>7.0</v>
      </c>
      <c r="C34" s="23"/>
    </row>
    <row r="35">
      <c r="A35" s="23" t="s">
        <v>163</v>
      </c>
      <c r="B35" s="91">
        <v>2.0</v>
      </c>
      <c r="C35" s="23"/>
    </row>
    <row r="36">
      <c r="A36" s="23" t="s">
        <v>166</v>
      </c>
      <c r="B36" s="91">
        <v>13.0</v>
      </c>
      <c r="C36" s="23"/>
    </row>
    <row r="37">
      <c r="A37" s="23" t="s">
        <v>171</v>
      </c>
      <c r="B37" s="23">
        <v>3.0</v>
      </c>
      <c r="C37" s="23"/>
    </row>
    <row r="38">
      <c r="A38" s="23"/>
      <c r="B38" s="23"/>
      <c r="C38" s="23"/>
    </row>
    <row r="39">
      <c r="A39" s="23"/>
      <c r="B39" s="23"/>
      <c r="C39" s="23"/>
    </row>
    <row r="40">
      <c r="A40" s="23"/>
      <c r="B40" s="23"/>
      <c r="C40" s="23"/>
    </row>
    <row r="41">
      <c r="A41" s="23"/>
      <c r="B41" s="23"/>
      <c r="C41" s="23"/>
    </row>
    <row r="42">
      <c r="A42" s="23"/>
      <c r="B42" s="23"/>
      <c r="C42" s="23"/>
    </row>
    <row r="43">
      <c r="A43" s="23"/>
      <c r="B43" s="23"/>
      <c r="C43" s="23"/>
    </row>
    <row r="44">
      <c r="A44" s="23"/>
      <c r="B44" s="23"/>
      <c r="C44" s="23"/>
    </row>
    <row r="45">
      <c r="A45" s="23"/>
      <c r="B45" s="23"/>
      <c r="C45" s="23"/>
    </row>
    <row r="46">
      <c r="A46" s="23"/>
      <c r="B46" s="23"/>
    </row>
    <row r="47">
      <c r="A47" s="23"/>
      <c r="B47" s="23"/>
      <c r="C47" s="23"/>
    </row>
    <row r="48">
      <c r="A48" s="23"/>
      <c r="B48" s="23"/>
      <c r="C48" s="23"/>
    </row>
    <row r="49">
      <c r="A49" s="23"/>
      <c r="B49" s="23"/>
      <c r="C49" s="23"/>
    </row>
    <row r="50">
      <c r="A50" s="23"/>
      <c r="B50" s="23"/>
      <c r="C50" s="23"/>
    </row>
    <row r="51">
      <c r="A51" s="23"/>
      <c r="B51" s="23"/>
      <c r="C51" s="23"/>
    </row>
    <row r="52">
      <c r="B52" s="23"/>
      <c r="C52" s="23"/>
    </row>
    <row r="53">
      <c r="B53" s="91"/>
      <c r="C53" s="23"/>
    </row>
    <row r="54">
      <c r="B54" s="91"/>
      <c r="C54" s="23"/>
    </row>
    <row r="55">
      <c r="B55" s="91"/>
      <c r="C55" s="23"/>
    </row>
    <row r="56">
      <c r="B56" s="91"/>
      <c r="C56" s="23"/>
    </row>
    <row r="57">
      <c r="B57" s="91"/>
      <c r="C57" s="23"/>
    </row>
    <row r="58">
      <c r="B58" s="91"/>
      <c r="C58" s="23"/>
    </row>
    <row r="59">
      <c r="B59" s="91"/>
      <c r="C59" s="23"/>
    </row>
    <row r="61">
      <c r="B61" s="23"/>
      <c r="C61" s="23"/>
    </row>
    <row r="62">
      <c r="C62" s="10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</cols>
  <sheetData>
    <row r="2">
      <c r="B2" s="23" t="s">
        <v>181</v>
      </c>
      <c r="C2" s="103">
        <v>74.77</v>
      </c>
      <c r="D2" s="91"/>
      <c r="E2" s="91"/>
    </row>
    <row r="3">
      <c r="B3" s="23" t="s">
        <v>182</v>
      </c>
      <c r="C3" s="103">
        <v>45.33</v>
      </c>
      <c r="D3" s="91"/>
      <c r="E3" s="91"/>
    </row>
    <row r="4">
      <c r="B4" s="23" t="s">
        <v>183</v>
      </c>
      <c r="C4" s="103">
        <v>78.19</v>
      </c>
      <c r="D4" s="91"/>
      <c r="E4" s="91"/>
    </row>
    <row r="5">
      <c r="B5" s="23" t="s">
        <v>184</v>
      </c>
      <c r="D5" s="91"/>
      <c r="E5" s="91"/>
    </row>
    <row r="6">
      <c r="B6" s="23" t="s">
        <v>185</v>
      </c>
      <c r="D6" s="23" t="s">
        <v>186</v>
      </c>
      <c r="E6" s="23" t="s">
        <v>187</v>
      </c>
    </row>
    <row r="7">
      <c r="B7" s="23" t="s">
        <v>172</v>
      </c>
      <c r="C7" s="108">
        <f>sum(C2:C6)</f>
        <v>198.29</v>
      </c>
      <c r="D7" s="108">
        <f>C7*18</f>
        <v>3569.22</v>
      </c>
      <c r="E7" s="108">
        <f>D7/2</f>
        <v>1784.61</v>
      </c>
    </row>
  </sheetData>
  <mergeCells count="1">
    <mergeCell ref="C4:C6"/>
  </mergeCells>
  <drawing r:id="rId1"/>
</worksheet>
</file>